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kar\Downloads\"/>
    </mc:Choice>
  </mc:AlternateContent>
  <xr:revisionPtr revIDLastSave="0" documentId="13_ncr:1_{5F2EFCDA-7BD8-48F8-9267-5DC522352D38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Assessment Info" sheetId="1" r:id="rId1"/>
    <sheet name="Risk Register" sheetId="2" r:id="rId2"/>
    <sheet name="Gap Assessment" sheetId="3" r:id="rId3"/>
    <sheet name="Gap Summary" sheetId="4" r:id="rId4"/>
    <sheet name="Scales" sheetId="5" r:id="rId5"/>
  </sheets>
  <definedNames>
    <definedName name="_xlnm._FilterDatabase" localSheetId="2" hidden="1">'Gap Assessment'!$A$4:$M$34</definedName>
    <definedName name="_xlnm._FilterDatabase" localSheetId="1" hidden="1">'Risk Register'!$A$4:$Q$24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4" l="1"/>
  <c r="E10" i="4" s="1"/>
  <c r="C10" i="4"/>
  <c r="D9" i="4"/>
  <c r="E9" i="4" s="1"/>
  <c r="C9" i="4"/>
  <c r="B9" i="4"/>
  <c r="E8" i="4"/>
  <c r="D8" i="4"/>
  <c r="C8" i="4"/>
  <c r="B8" i="4"/>
  <c r="D7" i="4"/>
  <c r="E7" i="4" s="1"/>
  <c r="C7" i="4"/>
  <c r="B7" i="4"/>
  <c r="D6" i="4"/>
  <c r="E6" i="4" s="1"/>
  <c r="C6" i="4"/>
  <c r="B6" i="4"/>
  <c r="D5" i="4"/>
  <c r="E5" i="4" s="1"/>
  <c r="C5" i="4"/>
  <c r="B5" i="4"/>
  <c r="D4" i="4"/>
  <c r="E4" i="4" s="1"/>
  <c r="C4" i="4"/>
  <c r="B4" i="4"/>
  <c r="B10" i="4" s="1"/>
  <c r="I34" i="3"/>
  <c r="K34" i="3" s="1"/>
  <c r="L34" i="3" s="1"/>
  <c r="I33" i="3"/>
  <c r="K33" i="3" s="1"/>
  <c r="L33" i="3" s="1"/>
  <c r="I32" i="3"/>
  <c r="K32" i="3" s="1"/>
  <c r="L32" i="3" s="1"/>
  <c r="I31" i="3"/>
  <c r="K31" i="3" s="1"/>
  <c r="L31" i="3" s="1"/>
  <c r="I30" i="3"/>
  <c r="K30" i="3" s="1"/>
  <c r="L30" i="3" s="1"/>
  <c r="I29" i="3"/>
  <c r="K29" i="3" s="1"/>
  <c r="L29" i="3" s="1"/>
  <c r="I28" i="3"/>
  <c r="K28" i="3" s="1"/>
  <c r="L28" i="3" s="1"/>
  <c r="F9" i="4" s="1"/>
  <c r="I27" i="3"/>
  <c r="K27" i="3" s="1"/>
  <c r="L27" i="3" s="1"/>
  <c r="I26" i="3"/>
  <c r="K26" i="3" s="1"/>
  <c r="L26" i="3" s="1"/>
  <c r="I25" i="3"/>
  <c r="I24" i="3"/>
  <c r="K24" i="3" s="1"/>
  <c r="L24" i="3" s="1"/>
  <c r="I23" i="3"/>
  <c r="I22" i="3"/>
  <c r="K22" i="3" s="1"/>
  <c r="L22" i="3" s="1"/>
  <c r="I21" i="3"/>
  <c r="K21" i="3" s="1"/>
  <c r="L21" i="3" s="1"/>
  <c r="I20" i="3"/>
  <c r="K20" i="3" s="1"/>
  <c r="L20" i="3" s="1"/>
  <c r="I19" i="3"/>
  <c r="I18" i="3"/>
  <c r="I17" i="3"/>
  <c r="K17" i="3" s="1"/>
  <c r="L17" i="3" s="1"/>
  <c r="I16" i="3"/>
  <c r="K16" i="3" s="1"/>
  <c r="L16" i="3" s="1"/>
  <c r="I15" i="3"/>
  <c r="K15" i="3" s="1"/>
  <c r="L15" i="3" s="1"/>
  <c r="I14" i="3"/>
  <c r="K14" i="3" s="1"/>
  <c r="L14" i="3" s="1"/>
  <c r="I13" i="3"/>
  <c r="K13" i="3" s="1"/>
  <c r="L13" i="3" s="1"/>
  <c r="I12" i="3"/>
  <c r="K12" i="3" s="1"/>
  <c r="L12" i="3" s="1"/>
  <c r="I11" i="3"/>
  <c r="K11" i="3" s="1"/>
  <c r="L11" i="3" s="1"/>
  <c r="I10" i="3"/>
  <c r="K10" i="3" s="1"/>
  <c r="L10" i="3" s="1"/>
  <c r="F5" i="4" s="1"/>
  <c r="I9" i="3"/>
  <c r="I8" i="3"/>
  <c r="K8" i="3" s="1"/>
  <c r="L8" i="3" s="1"/>
  <c r="I7" i="3"/>
  <c r="K7" i="3" s="1"/>
  <c r="L7" i="3" s="1"/>
  <c r="I6" i="3"/>
  <c r="K6" i="3" s="1"/>
  <c r="L6" i="3" s="1"/>
  <c r="I5" i="3"/>
  <c r="K5" i="3" s="1"/>
  <c r="L5" i="3" s="1"/>
  <c r="M24" i="2"/>
  <c r="N24" i="2" s="1"/>
  <c r="H24" i="2"/>
  <c r="F24" i="2"/>
  <c r="G24" i="2" s="1"/>
  <c r="M23" i="2"/>
  <c r="N23" i="2" s="1"/>
  <c r="H23" i="2"/>
  <c r="F23" i="2"/>
  <c r="G23" i="2" s="1"/>
  <c r="M22" i="2"/>
  <c r="N22" i="2" s="1"/>
  <c r="H22" i="2"/>
  <c r="F22" i="2"/>
  <c r="G22" i="2" s="1"/>
  <c r="M21" i="2"/>
  <c r="N21" i="2" s="1"/>
  <c r="H21" i="2"/>
  <c r="F21" i="2"/>
  <c r="G21" i="2" s="1"/>
  <c r="M20" i="2"/>
  <c r="N20" i="2" s="1"/>
  <c r="H20" i="2"/>
  <c r="F20" i="2"/>
  <c r="G20" i="2" s="1"/>
  <c r="M19" i="2"/>
  <c r="N19" i="2" s="1"/>
  <c r="H19" i="2"/>
  <c r="F19" i="2"/>
  <c r="G19" i="2" s="1"/>
  <c r="M18" i="2"/>
  <c r="N18" i="2" s="1"/>
  <c r="H18" i="2"/>
  <c r="F18" i="2"/>
  <c r="G18" i="2" s="1"/>
  <c r="M17" i="2"/>
  <c r="N17" i="2" s="1"/>
  <c r="H17" i="2"/>
  <c r="F17" i="2"/>
  <c r="G17" i="2" s="1"/>
  <c r="M16" i="2"/>
  <c r="N16" i="2" s="1"/>
  <c r="H16" i="2"/>
  <c r="F16" i="2"/>
  <c r="G16" i="2" s="1"/>
  <c r="M15" i="2"/>
  <c r="N15" i="2" s="1"/>
  <c r="H15" i="2"/>
  <c r="F15" i="2"/>
  <c r="G15" i="2" s="1"/>
  <c r="M14" i="2"/>
  <c r="N14" i="2" s="1"/>
  <c r="H14" i="2"/>
  <c r="F14" i="2"/>
  <c r="G14" i="2" s="1"/>
  <c r="M13" i="2"/>
  <c r="N13" i="2" s="1"/>
  <c r="F13" i="2"/>
  <c r="G13" i="2" s="1"/>
  <c r="M12" i="2"/>
  <c r="N12" i="2" s="1"/>
  <c r="F12" i="2"/>
  <c r="G12" i="2" s="1"/>
  <c r="M11" i="2"/>
  <c r="N11" i="2" s="1"/>
  <c r="H11" i="2"/>
  <c r="F11" i="2"/>
  <c r="G11" i="2" s="1"/>
  <c r="M10" i="2"/>
  <c r="N10" i="2" s="1"/>
  <c r="H10" i="2"/>
  <c r="G10" i="2"/>
  <c r="F10" i="2"/>
  <c r="M9" i="2"/>
  <c r="N9" i="2" s="1"/>
  <c r="F9" i="2"/>
  <c r="G9" i="2" s="1"/>
  <c r="M8" i="2"/>
  <c r="N8" i="2" s="1"/>
  <c r="F8" i="2"/>
  <c r="G8" i="2" s="1"/>
  <c r="M7" i="2"/>
  <c r="N7" i="2" s="1"/>
  <c r="F7" i="2"/>
  <c r="G7" i="2" s="1"/>
  <c r="M6" i="2"/>
  <c r="N6" i="2" s="1"/>
  <c r="H6" i="2"/>
  <c r="F6" i="2"/>
  <c r="G6" i="2" s="1"/>
  <c r="M5" i="2"/>
  <c r="N5" i="2" s="1"/>
  <c r="H5" i="2"/>
  <c r="F5" i="2"/>
  <c r="G5" i="2" s="1"/>
  <c r="K25" i="3" l="1"/>
  <c r="L25" i="3" s="1"/>
  <c r="F8" i="4" s="1"/>
  <c r="H8" i="2"/>
  <c r="K23" i="3"/>
  <c r="L23" i="3" s="1"/>
  <c r="F7" i="4" s="1"/>
  <c r="H13" i="2"/>
  <c r="H7" i="2"/>
  <c r="K19" i="3"/>
  <c r="L19" i="3" s="1"/>
  <c r="H9" i="2"/>
  <c r="K18" i="3"/>
  <c r="L18" i="3" s="1"/>
  <c r="F6" i="4" s="1"/>
  <c r="H12" i="2"/>
  <c r="K9" i="3"/>
  <c r="L9" i="3" s="1"/>
  <c r="F4" i="4" s="1"/>
  <c r="F10" i="4" s="1"/>
  <c r="C29" i="5"/>
  <c r="C28" i="5"/>
  <c r="C31" i="5" s="1"/>
  <c r="C30" i="5"/>
  <c r="B28" i="5"/>
  <c r="B29" i="5"/>
  <c r="B30" i="5"/>
  <c r="B31" i="5" l="1"/>
</calcChain>
</file>

<file path=xl/sharedStrings.xml><?xml version="1.0" encoding="utf-8"?>
<sst xmlns="http://schemas.openxmlformats.org/spreadsheetml/2006/main" count="402" uniqueCount="319">
  <si>
    <t>Assessment Information</t>
  </si>
  <si>
    <t>Fictional example. All evidence, scores, and findings are illustrative.</t>
  </si>
  <si>
    <t>Assessment title</t>
  </si>
  <si>
    <t>Cybersecurity Risk Register with NIST CSF 2.0 Gap Analysis</t>
  </si>
  <si>
    <t>Organization</t>
  </si>
  <si>
    <t>BrightPath Dental, a fictional US-based dental clinic with 40 staff at a single location. Assumed to be subject to HIPAA and US state breach-notification laws.</t>
  </si>
  <si>
    <t>Prepared by</t>
  </si>
  <si>
    <t>Assessment date</t>
  </si>
  <si>
    <t>Version</t>
  </si>
  <si>
    <t>1.0</t>
  </si>
  <si>
    <t>Scope: in</t>
  </si>
  <si>
    <t>Patient records cloud application, 30 Windows laptops, office Wi-Fi and router, cloud backup, key vendors, and the staff and IT contractor who use them.</t>
  </si>
  <si>
    <t>Scope: out</t>
  </si>
  <si>
    <t>Staff personal devices, dental imaging equipment, and building infrastructure managed by the landlord.</t>
  </si>
  <si>
    <t>Framework coverage</t>
  </si>
  <si>
    <t>NIST Cybersecurity Framework 2.0. This workbook assesses 26 selected outcomes (subcategories) across all six functions, not the entire framework. The outcomes were chosen to fit a small clinic.</t>
  </si>
  <si>
    <t>Maturity scoring</t>
  </si>
  <si>
    <t>Current and Target scores use a custom 0-4 scale (see 'Scales'). NIST CSF is outcome-based and does not prescribe maturity levels or scores. Target scores reflect what a small clinic could reasonably achieve.</t>
  </si>
  <si>
    <t>Gap and priority</t>
  </si>
  <si>
    <t>Gap = Target - Current (minimum 0). Priority score = Gap x Impact (Impact on a 1-5 scale).</t>
  </si>
  <si>
    <t>Risk rating</t>
  </si>
  <si>
    <t>Risk score = Likelihood x Impact (1-5 each). High is 12 or more, Medium is 6 to 11, Low is below 6. Residual risk uses the same scales and is the expected score once the planned action is complete.</t>
  </si>
  <si>
    <t>Evidence sources (fictional)</t>
  </si>
  <si>
    <t>Interviews with the owner and the IT contractor; document requests; review of records-system and router settings; sample of 5 of 30 laptops; backup job logs; vendor documentation; sample of 5 recent leavers.</t>
  </si>
  <si>
    <t>Assumptions</t>
  </si>
  <si>
    <t>1) The clinic is US-based and HIPAA applies. 2) All evidence is fictional and was written for this exercise. 3) Scores are one assessor's judgment. 4) No technical testing or scanning was performed.</t>
  </si>
  <si>
    <t>Limitations</t>
  </si>
  <si>
    <t>Qualitative scoring by one assessor; a selected subset of outcomes; requirement wording is shortened from the official framework.</t>
  </si>
  <si>
    <t>Source</t>
  </si>
  <si>
    <t>NIST Cybersecurity Framework 2.0 (https://www.nist.gov/cyberframework)</t>
  </si>
  <si>
    <t>Cybersecurity Risk Register: BrightPath Dental (fictional US-based clinic)</t>
  </si>
  <si>
    <t>Risk ID</t>
  </si>
  <si>
    <t>Risk description</t>
  </si>
  <si>
    <t>CSF ID</t>
  </si>
  <si>
    <t>Likelihood (1-5)</t>
  </si>
  <si>
    <t>Impact (1-5)</t>
  </si>
  <si>
    <t>Score</t>
  </si>
  <si>
    <t>Level</t>
  </si>
  <si>
    <t>CSF gap (target - current)</t>
  </si>
  <si>
    <t>Treatment</t>
  </si>
  <si>
    <t>Planned action</t>
  </si>
  <si>
    <t>Residual likelihood (target)</t>
  </si>
  <si>
    <t>Residual impact (target)</t>
  </si>
  <si>
    <t>Residual score</t>
  </si>
  <si>
    <t>Residual level</t>
  </si>
  <si>
    <t>Owner (role)</t>
  </si>
  <si>
    <t>Due date</t>
  </si>
  <si>
    <t>Status</t>
  </si>
  <si>
    <t>R-01</t>
  </si>
  <si>
    <t>Unauthorized access to patient records through a shared login with no MFA</t>
  </si>
  <si>
    <t>PR.AA-03</t>
  </si>
  <si>
    <t>Mitigate</t>
  </si>
  <si>
    <t>Create individual accounts and turn on MFA</t>
  </si>
  <si>
    <t>IT contractor</t>
  </si>
  <si>
    <t>Open</t>
  </si>
  <si>
    <t>R-02</t>
  </si>
  <si>
    <t>Phishing email leads to stolen staff passwords</t>
  </si>
  <si>
    <t>PR.AT-01</t>
  </si>
  <si>
    <t>Run awareness training and set up a way to report suspicious emails</t>
  </si>
  <si>
    <t>Practice manager</t>
  </si>
  <si>
    <t>R-03</t>
  </si>
  <si>
    <t>Ransomware locks patient systems and backups cannot be restored</t>
  </si>
  <si>
    <t>PR.DS-11</t>
  </si>
  <si>
    <t>Test restores every quarter and keep an offline backup copy</t>
  </si>
  <si>
    <t>R-04</t>
  </si>
  <si>
    <t>No incident response plan, so response is slow and breach notice is late</t>
  </si>
  <si>
    <t>RS.MA-01</t>
  </si>
  <si>
    <t>Write, approve, and practice an incident response plan</t>
  </si>
  <si>
    <t>Security lead</t>
  </si>
  <si>
    <t>R-05</t>
  </si>
  <si>
    <t>Lost or stolen laptop that is not encrypted exposes patient data</t>
  </si>
  <si>
    <t>PR.DS-01</t>
  </si>
  <si>
    <t>Turn on full-disk encryption on all laptops</t>
  </si>
  <si>
    <t>R-06</t>
  </si>
  <si>
    <t>Former staff keep access to systems after leaving</t>
  </si>
  <si>
    <t>PR.AA-01</t>
  </si>
  <si>
    <t>Use an offboarding checklist and review accounts monthly</t>
  </si>
  <si>
    <t>R-07</t>
  </si>
  <si>
    <t>Laptops running unsupported Windows 10 are exploited</t>
  </si>
  <si>
    <t>PR.PS-02</t>
  </si>
  <si>
    <t>Upgrade or replace unsupported laptops</t>
  </si>
  <si>
    <t>R-08</t>
  </si>
  <si>
    <t>Data breach at the cloud records vendor</t>
  </si>
  <si>
    <t>GV.SC-01</t>
  </si>
  <si>
    <t>Transfer</t>
  </si>
  <si>
    <t>Send a security questionnaire, check contract terms, and review cyber insurance</t>
  </si>
  <si>
    <t>Practice owner</t>
  </si>
  <si>
    <t>R-09</t>
  </si>
  <si>
    <t>Intrusion goes unnoticed because nothing is monitored</t>
  </si>
  <si>
    <t>DE.CM-09</t>
  </si>
  <si>
    <t>Deploy endpoint protection with alerts and review logs weekly</t>
  </si>
  <si>
    <t>R-10</t>
  </si>
  <si>
    <t>Guests misuse the clinic Wi-Fi</t>
  </si>
  <si>
    <t>PR.IR-01</t>
  </si>
  <si>
    <t>Separate guest Wi-Fi from the clinic network and review yearly</t>
  </si>
  <si>
    <t>NIST CSF 2.0 Gap Assessment: 26 selected outcomes, BrightPath Dental (fictional US-based clinic)</t>
  </si>
  <si>
    <t>Scores use a custom 0-4 scale, not a NIST-defined scale. Gap = Target - Current. Priority score = Gap x Impact.</t>
  </si>
  <si>
    <t>Function</t>
  </si>
  <si>
    <t>Category</t>
  </si>
  <si>
    <t>Requirement (short)</t>
  </si>
  <si>
    <t>Current state</t>
  </si>
  <si>
    <t>Evidence / assessment rationale (fictional)</t>
  </si>
  <si>
    <t>Current (0-4)</t>
  </si>
  <si>
    <t>Target (0-4)</t>
  </si>
  <si>
    <t>Gap</t>
  </si>
  <si>
    <t>Priority score</t>
  </si>
  <si>
    <t>Priority</t>
  </si>
  <si>
    <t>Recommended action</t>
  </si>
  <si>
    <t>GV.OC-03</t>
  </si>
  <si>
    <t>Govern</t>
  </si>
  <si>
    <t>Organizational Context</t>
  </si>
  <si>
    <t>Legal and regulatory cyber obligations are understood and managed</t>
  </si>
  <si>
    <t>Owner knows HIPAA applies, but nobody tracks obligations</t>
  </si>
  <si>
    <t>Owner interview; no obligations list or contract review found. Scored 1: awareness without a process.</t>
  </si>
  <si>
    <t>Create a compliance obligations checklist (HIPAA, state breach law)</t>
  </si>
  <si>
    <t>GV.RM-01</t>
  </si>
  <si>
    <t>Risk Management Strategy</t>
  </si>
  <si>
    <t>Risk management objectives are set and agreed by leadership</t>
  </si>
  <si>
    <t>No documented risk objectives</t>
  </si>
  <si>
    <t>Interview and document request: no risk objectives or risk appetite statement. Scored 0.</t>
  </si>
  <si>
    <t>Document risk objectives with the owner</t>
  </si>
  <si>
    <t>GV.RR-02</t>
  </si>
  <si>
    <t>Roles, Responsibilities, and Authorities</t>
  </si>
  <si>
    <t>Cyber roles and responsibilities are defined and communicated</t>
  </si>
  <si>
    <t>Contractor handles everything; no named security owner</t>
  </si>
  <si>
    <t>Interview: contractor handles IT and security; no role descriptions. Scored 1: informal.</t>
  </si>
  <si>
    <t>Name an internal security lead</t>
  </si>
  <si>
    <t>GV.PO-01</t>
  </si>
  <si>
    <t>Policy</t>
  </si>
  <si>
    <t>Cybersecurity policy is established and enforced</t>
  </si>
  <si>
    <t>No written security policies</t>
  </si>
  <si>
    <t>Document request: no written security policies found. Scored 0.</t>
  </si>
  <si>
    <t>Write acceptable use, access control, and incident response policies</t>
  </si>
  <si>
    <t>Supply Chain Risk Management</t>
  </si>
  <si>
    <t>A supply chain risk management process exists</t>
  </si>
  <si>
    <t>Records and billing vendors never assessed</t>
  </si>
  <si>
    <t>Vendor list requested: none exists; no vendor questionnaires on file. Scored 0.</t>
  </si>
  <si>
    <t>List vendors and send security questionnaires to critical ones</t>
  </si>
  <si>
    <t>ID.AM-01</t>
  </si>
  <si>
    <t>Identify</t>
  </si>
  <si>
    <t>Asset Management</t>
  </si>
  <si>
    <t>Hardware inventory is maintained</t>
  </si>
  <si>
    <t>Laptop list is two years out of date</t>
  </si>
  <si>
    <t>Laptop spreadsheet reviewed: last edited two years ago. Scored 1: exists but outdated.</t>
  </si>
  <si>
    <t>Rebuild the hardware inventory and review it quarterly</t>
  </si>
  <si>
    <t>ID.AM-02</t>
  </si>
  <si>
    <t>Software and services inventory is maintained</t>
  </si>
  <si>
    <t>Staff install their own apps; no list of cloud services</t>
  </si>
  <si>
    <t>Contractor interview: no software or cloud service list. Scored 1: partly known to the contractor.</t>
  </si>
  <si>
    <t>Inventory approved software and cloud services</t>
  </si>
  <si>
    <t>ID.RA-01</t>
  </si>
  <si>
    <t>Risk Assessment</t>
  </si>
  <si>
    <t>Asset vulnerabilities are identified and recorded</t>
  </si>
  <si>
    <t>No vulnerability scanning; patching is ad hoc</t>
  </si>
  <si>
    <t>Contractor interview: no scanning; patches applied by hand. Scored 0.</t>
  </si>
  <si>
    <t>Run a monthly vulnerability scan</t>
  </si>
  <si>
    <t>ID.RA-05</t>
  </si>
  <si>
    <t>Risk is assessed and used to prioritize response</t>
  </si>
  <si>
    <t>No formal risk assessment before this register</t>
  </si>
  <si>
    <t>No risk assessment records found before this exercise. Scored 0.</t>
  </si>
  <si>
    <t>Keep the risk register up to date and review it quarterly</t>
  </si>
  <si>
    <t>Protect</t>
  </si>
  <si>
    <t>Identity Management, Authentication, and Access Control</t>
  </si>
  <si>
    <t>Identities and credentials are managed</t>
  </si>
  <si>
    <t>Accounts not removed promptly when staff leave</t>
  </si>
  <si>
    <t>Sample of 5 recent leavers: 2 accounts still active. Scored 1.</t>
  </si>
  <si>
    <t>Add an offboarding checklist and review accounts monthly</t>
  </si>
  <si>
    <t>Users and devices are authenticated</t>
  </si>
  <si>
    <t>Shared login for patient records system; no MFA</t>
  </si>
  <si>
    <t>Records system settings reviewed: one shared login and MFA off. Scored 1.</t>
  </si>
  <si>
    <t>Create individual accounts and enable MFA</t>
  </si>
  <si>
    <t>PR.AA-05</t>
  </si>
  <si>
    <t>Access follows least privilege and is reviewed</t>
  </si>
  <si>
    <t>All staff can view all patient records</t>
  </si>
  <si>
    <t>Role listing reviewed: all staff can view all records; no access review on file. Scored 1.</t>
  </si>
  <si>
    <t>Define role-based access and review quarterly</t>
  </si>
  <si>
    <t>Awareness and Training</t>
  </si>
  <si>
    <t>Personnel receive security awareness training</t>
  </si>
  <si>
    <t>Only a HIPAA onboarding video; no phishing training</t>
  </si>
  <si>
    <t>HR training records: onboarding video only; no phishing training. Scored 1.</t>
  </si>
  <si>
    <t>Launch annual awareness training with phishing simulations</t>
  </si>
  <si>
    <t>Data Security</t>
  </si>
  <si>
    <t>Data at rest is protected</t>
  </si>
  <si>
    <t>Cloud app encrypts data; laptops are not encrypted</t>
  </si>
  <si>
    <t>Vendor documentation: cloud data encrypted. 5 sampled laptops unencrypted. Scored 2.</t>
  </si>
  <si>
    <t>Backups are created, protected, and tested</t>
  </si>
  <si>
    <t>Nightly backup exists; restore never tested</t>
  </si>
  <si>
    <t>Backup job logs show nightly runs; no restore test on record. Scored 2.</t>
  </si>
  <si>
    <t>Schedule a quarterly restore test</t>
  </si>
  <si>
    <t>Platform Security</t>
  </si>
  <si>
    <t>Software is maintained and replaced based on risk</t>
  </si>
  <si>
    <t>Some laptops still on Windows 10, past end of support</t>
  </si>
  <si>
    <t>5 sampled laptops: 2 on Windows 10 past end of support; manual updates. Scored 1.</t>
  </si>
  <si>
    <t>Upgrade or replace unsupported laptops; automate updates</t>
  </si>
  <si>
    <t>Technology Infrastructure Resilience</t>
  </si>
  <si>
    <t>Networks are protected from unauthorized access</t>
  </si>
  <si>
    <t>Guests and clinic devices share one Wi-Fi network</t>
  </si>
  <si>
    <t>Router configuration reviewed: guest and clinic devices on one network. Scored 2: a firewall is in place.</t>
  </si>
  <si>
    <t>Separate guest Wi-Fi from the clinic network</t>
  </si>
  <si>
    <t>DE.CM-01</t>
  </si>
  <si>
    <t>Detect</t>
  </si>
  <si>
    <t>Continuous Monitoring</t>
  </si>
  <si>
    <t>Networks are monitored for adverse events</t>
  </si>
  <si>
    <t>Router logs not reviewed; no alerting</t>
  </si>
  <si>
    <t>Contractor interview: router logs never reviewed; no alerting. Scored 0.</t>
  </si>
  <si>
    <t>Enable router logging and a weekly review</t>
  </si>
  <si>
    <t>Hardware and software are monitored</t>
  </si>
  <si>
    <t>Basic antivirus only; no central visibility</t>
  </si>
  <si>
    <t>Antivirus console reviewed: installed, but alerts are not reviewed centrally. Scored 1.</t>
  </si>
  <si>
    <t>Deploy managed endpoint protection with alerts</t>
  </si>
  <si>
    <t>DE.AE-02</t>
  </si>
  <si>
    <t>Adverse Event Analysis</t>
  </si>
  <si>
    <t>Potentially adverse events are analyzed</t>
  </si>
  <si>
    <t>Staff mention odd emails informally; no triage process</t>
  </si>
  <si>
    <t>Staff interviews: odd emails mentioned informally; no triage process. Scored 1.</t>
  </si>
  <si>
    <t>Create a simple suspicious-email reporting process</t>
  </si>
  <si>
    <t>Respond</t>
  </si>
  <si>
    <t>Incident Management</t>
  </si>
  <si>
    <t>The incident response plan is executed</t>
  </si>
  <si>
    <t>No incident response plan</t>
  </si>
  <si>
    <t>Document request: no incident response plan exists. Scored 0.</t>
  </si>
  <si>
    <t>Write and approve an incident response plan</t>
  </si>
  <si>
    <t>RS.CO-02</t>
  </si>
  <si>
    <t>Incident Response Reporting and Communication</t>
  </si>
  <si>
    <t>Stakeholders are notified of incidents</t>
  </si>
  <si>
    <t>No contact list or breach notification steps</t>
  </si>
  <si>
    <t>Document request: no contact list or breach-notification steps found. Scored 0.</t>
  </si>
  <si>
    <t>Create a contact list and breach-notification steps</t>
  </si>
  <si>
    <t>RS.MI-01</t>
  </si>
  <si>
    <t>Incident Mitigation</t>
  </si>
  <si>
    <t>Incidents are contained</t>
  </si>
  <si>
    <t>No documented containment steps</t>
  </si>
  <si>
    <t>Contractor interview: containment is improvised; no written steps. Scored 1.</t>
  </si>
  <si>
    <t>Document containment steps for phishing and ransomware</t>
  </si>
  <si>
    <t>RC.RP-01</t>
  </si>
  <si>
    <t>Recover</t>
  </si>
  <si>
    <t>Incident Recovery Plan Execution</t>
  </si>
  <si>
    <t>The recovery plan is executed</t>
  </si>
  <si>
    <t>No recovery plan or system priorities</t>
  </si>
  <si>
    <t>Document request: no recovery plan or system priorities found. Scored 0.</t>
  </si>
  <si>
    <t>Write a recovery plan with system priorities</t>
  </si>
  <si>
    <t>RC.RP-03</t>
  </si>
  <si>
    <t>Backup integrity is verified before restoration</t>
  </si>
  <si>
    <t>No integrity checks before restoring</t>
  </si>
  <si>
    <t>Backup procedure reviewed: no integrity check before restore. Scored 1: backups exist.</t>
  </si>
  <si>
    <t>Add integrity checks to the restore test</t>
  </si>
  <si>
    <t>RC.CO-03</t>
  </si>
  <si>
    <t>Incident Recovery Communication</t>
  </si>
  <si>
    <t>Recovery progress is communicated</t>
  </si>
  <si>
    <t>No plan to inform staff or patients during an outage</t>
  </si>
  <si>
    <t>Document request: no outage communication plan found. Scored 0.</t>
  </si>
  <si>
    <t>Add communication templates to the recovery plan</t>
  </si>
  <si>
    <t>Gap Summary: Current vs Target Maturity by CSF Function</t>
  </si>
  <si>
    <t>Outcomes assessed</t>
  </si>
  <si>
    <t>Avg current</t>
  </si>
  <si>
    <t>Avg target</t>
  </si>
  <si>
    <t>Avg gap</t>
  </si>
  <si>
    <t>High priority gaps</t>
  </si>
  <si>
    <t>Overall</t>
  </si>
  <si>
    <t>Averages cover the 26 selected outcomes. The 0-4 scale is custom, not NIST-defined.</t>
  </si>
  <si>
    <t>Scales, Thresholds and Summary</t>
  </si>
  <si>
    <t>Likelihood scale</t>
  </si>
  <si>
    <t>Description</t>
  </si>
  <si>
    <t>Rare</t>
  </si>
  <si>
    <t>Unlikely in the next 3 years</t>
  </si>
  <si>
    <t>Unlikely</t>
  </si>
  <si>
    <t>Could happen once in 1 to 3 years</t>
  </si>
  <si>
    <t>Possible</t>
  </si>
  <si>
    <t>Could happen about once a year</t>
  </si>
  <si>
    <t>Likely</t>
  </si>
  <si>
    <t>Expected several times a year</t>
  </si>
  <si>
    <t>Almost certain</t>
  </si>
  <si>
    <t>Happening now or monthly</t>
  </si>
  <si>
    <t>Impact scale (used for risks and gap priority)</t>
  </si>
  <si>
    <t>Negligible</t>
  </si>
  <si>
    <t>No data exposed, no disruption</t>
  </si>
  <si>
    <t>Minor</t>
  </si>
  <si>
    <t>Small internal issue, under 1 hour of disruption</t>
  </si>
  <si>
    <t>Moderate</t>
  </si>
  <si>
    <t>A few records exposed, up to 1 day of disruption</t>
  </si>
  <si>
    <t>Major</t>
  </si>
  <si>
    <t>Many records exposed, 1 to 3 days of disruption, regulator notice needed</t>
  </si>
  <si>
    <t>Severe</t>
  </si>
  <si>
    <t>Large breach or data loss, clinic cannot see patients, major fines</t>
  </si>
  <si>
    <t>Risk and gap priority thresholds</t>
  </si>
  <si>
    <t>Score at or above</t>
  </si>
  <si>
    <t>What to do</t>
  </si>
  <si>
    <t>High</t>
  </si>
  <si>
    <t>Must be treated. Plan within 30 days.</t>
  </si>
  <si>
    <t>Medium</t>
  </si>
  <si>
    <t>Treat, or accept with a written reason from the owner.</t>
  </si>
  <si>
    <t>Low</t>
  </si>
  <si>
    <t>below Medium</t>
  </si>
  <si>
    <t>Accept and monitor.</t>
  </si>
  <si>
    <t>The same cut-offs apply to risk scores, residual risk scores, and gap priority scores.</t>
  </si>
  <si>
    <t>Risk summary (calculates automatically)</t>
  </si>
  <si>
    <t>Inherent risks</t>
  </si>
  <si>
    <t>Residual risks (target)</t>
  </si>
  <si>
    <t>Total</t>
  </si>
  <si>
    <t>Maturity scale: custom 0-4 scale, not defined by NIST</t>
  </si>
  <si>
    <t>Not implemented</t>
  </si>
  <si>
    <t>No control exists</t>
  </si>
  <si>
    <t>Initial</t>
  </si>
  <si>
    <t>Informal or ad hoc</t>
  </si>
  <si>
    <t>Partial</t>
  </si>
  <si>
    <t>Some controls, inconsistent</t>
  </si>
  <si>
    <t>Defined</t>
  </si>
  <si>
    <t>Documented and followed</t>
  </si>
  <si>
    <t>Managed</t>
  </si>
  <si>
    <t>Documented, monitored, and reviewed</t>
  </si>
  <si>
    <t>NIST CSF is outcome-based and does not define maturity levels. This 0-4 scale was created for this assessment.</t>
  </si>
  <si>
    <t>How the sheets connect</t>
  </si>
  <si>
    <t>1. Assessment Info records the scope, method, assumptions, and evidence sources.</t>
  </si>
  <si>
    <t>2. Gap Assessment scores 26 selected NIST CSF 2.0 outcomes for a fictional US-based clinic, with the evidence behind each score.</t>
  </si>
  <si>
    <t>3. Risk Register lists the cyber risks those gaps create. The CSF ID column links each risk to its gap, and residual columns show the expected result of treatment.</t>
  </si>
  <si>
    <t>4. Gap Summary charts current vs target maturity by CSF function.</t>
  </si>
  <si>
    <t>Blue text = input; black = formula or fixed label.</t>
  </si>
  <si>
    <t>Source: NIST Cybersecurity Framework 2.0 (nist.gov/cyberframework).</t>
  </si>
  <si>
    <t>Sakar Singh Khadka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</si>
</sst>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7" fillId="4" borderId="0" xfId="0" applyFont="1" applyFill="1"/>
    <xf numFmtId="0" fontId="0" fillId="4" borderId="0" xfId="0" applyFill="1"/>
    <xf numFmtId="0" fontId="3" fillId="2" borderId="1" xfId="0" applyFont="1" applyFill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9E5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Current vs Target Maturity (0-4 custom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'Gap Summary'!$C$3</c:f>
              <c:strCache>
                <c:ptCount val="1"/>
                <c:pt idx="0">
                  <c:v>Avg current</c:v>
                </c:pt>
              </c:strCache>
            </c:strRef>
          </c:tx>
          <c:spPr>
            <a:ln w="66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Summary'!$A$4:$A$9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'Gap Summary'!$C$4:$C$9</c:f>
              <c:numCache>
                <c:formatCode>0.0</c:formatCode>
                <c:ptCount val="6"/>
                <c:pt idx="0">
                  <c:v>0.4</c:v>
                </c:pt>
                <c:pt idx="1">
                  <c:v>0.5</c:v>
                </c:pt>
                <c:pt idx="2">
                  <c:v>1.375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D-4626-B2C0-1056FFA7A12F}"/>
            </c:ext>
          </c:extLst>
        </c:ser>
        <c:ser>
          <c:idx val="1"/>
          <c:order val="1"/>
          <c:tx>
            <c:strRef>
              <c:f>'Gap Summary'!$D$3</c:f>
              <c:strCache>
                <c:ptCount val="1"/>
                <c:pt idx="0">
                  <c:v>Avg target</c:v>
                </c:pt>
              </c:strCache>
            </c:strRef>
          </c:tx>
          <c:spPr>
            <a:ln w="6660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Summary'!$A$4:$A$9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'Gap Summary'!$D$4:$D$9</c:f>
              <c:numCache>
                <c:formatCode>0.0</c:formatCode>
                <c:ptCount val="6"/>
                <c:pt idx="0">
                  <c:v>2.6</c:v>
                </c:pt>
                <c:pt idx="1">
                  <c:v>3</c:v>
                </c:pt>
                <c:pt idx="2">
                  <c:v>3</c:v>
                </c:pt>
                <c:pt idx="3">
                  <c:v>2.3333333333333335</c:v>
                </c:pt>
                <c:pt idx="4">
                  <c:v>3</c:v>
                </c:pt>
                <c:pt idx="5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D-4626-B2C0-1056FFA7A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06361"/>
        <c:axId val="43313718"/>
      </c:radarChart>
      <c:catAx>
        <c:axId val="437063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13718"/>
        <c:crosses val="autoZero"/>
        <c:auto val="1"/>
        <c:lblAlgn val="ctr"/>
        <c:lblOffset val="100"/>
        <c:noMultiLvlLbl val="0"/>
      </c:catAx>
      <c:valAx>
        <c:axId val="43313718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06361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15</xdr:col>
      <xdr:colOff>147600</xdr:colOff>
      <xdr:row>19</xdr:row>
      <xdr:rowOff>121680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topLeftCell="A5" zoomScaleNormal="100" workbookViewId="0">
      <selection activeCell="B8" sqref="B8"/>
    </sheetView>
  </sheetViews>
  <sheetFormatPr defaultColWidth="8.6328125" defaultRowHeight="14.5" x14ac:dyDescent="0.35"/>
  <cols>
    <col min="1" max="1" width="26" customWidth="1"/>
    <col min="2" max="2" width="100" customWidth="1"/>
  </cols>
  <sheetData>
    <row r="1" spans="1:2" ht="18" x14ac:dyDescent="0.4">
      <c r="A1" s="3" t="s">
        <v>0</v>
      </c>
    </row>
    <row r="2" spans="1:2" x14ac:dyDescent="0.35">
      <c r="A2" s="4" t="s">
        <v>1</v>
      </c>
    </row>
    <row r="4" spans="1:2" ht="18" customHeight="1" x14ac:dyDescent="0.35">
      <c r="A4" s="5" t="s">
        <v>2</v>
      </c>
      <c r="B4" s="6" t="s">
        <v>3</v>
      </c>
    </row>
    <row r="5" spans="1:2" ht="31.5" customHeight="1" x14ac:dyDescent="0.35">
      <c r="A5" s="5" t="s">
        <v>4</v>
      </c>
      <c r="B5" s="6" t="s">
        <v>5</v>
      </c>
    </row>
    <row r="6" spans="1:2" ht="18" customHeight="1" x14ac:dyDescent="0.35">
      <c r="A6" s="5" t="s">
        <v>6</v>
      </c>
      <c r="B6" s="7" t="s">
        <v>318</v>
      </c>
    </row>
    <row r="7" spans="1:2" ht="18" customHeight="1" x14ac:dyDescent="0.35">
      <c r="A7" s="5" t="s">
        <v>7</v>
      </c>
      <c r="B7" s="8">
        <v>46287</v>
      </c>
    </row>
    <row r="8" spans="1:2" ht="18" customHeight="1" x14ac:dyDescent="0.35">
      <c r="A8" s="5" t="s">
        <v>8</v>
      </c>
      <c r="B8" s="7" t="s">
        <v>9</v>
      </c>
    </row>
    <row r="9" spans="1:2" ht="31.5" customHeight="1" x14ac:dyDescent="0.35">
      <c r="A9" s="5" t="s">
        <v>10</v>
      </c>
      <c r="B9" s="6" t="s">
        <v>11</v>
      </c>
    </row>
    <row r="10" spans="1:2" ht="18" customHeight="1" x14ac:dyDescent="0.35">
      <c r="A10" s="5" t="s">
        <v>12</v>
      </c>
      <c r="B10" s="6" t="s">
        <v>13</v>
      </c>
    </row>
    <row r="11" spans="1:2" ht="31.5" customHeight="1" x14ac:dyDescent="0.35">
      <c r="A11" s="5" t="s">
        <v>14</v>
      </c>
      <c r="B11" s="6" t="s">
        <v>15</v>
      </c>
    </row>
    <row r="12" spans="1:2" ht="31.5" customHeight="1" x14ac:dyDescent="0.35">
      <c r="A12" s="5" t="s">
        <v>16</v>
      </c>
      <c r="B12" s="6" t="s">
        <v>17</v>
      </c>
    </row>
    <row r="13" spans="1:2" ht="18" customHeight="1" x14ac:dyDescent="0.35">
      <c r="A13" s="5" t="s">
        <v>18</v>
      </c>
      <c r="B13" s="6" t="s">
        <v>19</v>
      </c>
    </row>
    <row r="14" spans="1:2" ht="31.5" customHeight="1" x14ac:dyDescent="0.35">
      <c r="A14" s="5" t="s">
        <v>20</v>
      </c>
      <c r="B14" s="6" t="s">
        <v>21</v>
      </c>
    </row>
    <row r="15" spans="1:2" ht="31.5" customHeight="1" x14ac:dyDescent="0.35">
      <c r="A15" s="5" t="s">
        <v>22</v>
      </c>
      <c r="B15" s="6" t="s">
        <v>23</v>
      </c>
    </row>
    <row r="16" spans="1:2" ht="31.5" customHeight="1" x14ac:dyDescent="0.35">
      <c r="A16" s="5" t="s">
        <v>24</v>
      </c>
      <c r="B16" s="6" t="s">
        <v>25</v>
      </c>
    </row>
    <row r="17" spans="1:2" ht="31.5" customHeight="1" x14ac:dyDescent="0.35">
      <c r="A17" s="5" t="s">
        <v>26</v>
      </c>
      <c r="B17" s="6" t="s">
        <v>27</v>
      </c>
    </row>
    <row r="18" spans="1:2" ht="18" customHeight="1" x14ac:dyDescent="0.35">
      <c r="A18" s="5" t="s">
        <v>28</v>
      </c>
      <c r="B18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zoomScaleNormal="100" workbookViewId="0">
      <pane xSplit="2" ySplit="4" topLeftCell="C10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9" customWidth="1"/>
    <col min="2" max="2" width="42" customWidth="1"/>
    <col min="3" max="3" width="10" customWidth="1"/>
    <col min="4" max="4" width="11" customWidth="1"/>
    <col min="5" max="5" width="10" customWidth="1"/>
    <col min="6" max="6" width="8" customWidth="1"/>
    <col min="7" max="7" width="10" customWidth="1"/>
    <col min="8" max="9" width="12" customWidth="1"/>
    <col min="10" max="10" width="40" customWidth="1"/>
    <col min="11" max="12" width="12" customWidth="1"/>
    <col min="13" max="14" width="10" customWidth="1"/>
    <col min="15" max="15" width="16" customWidth="1"/>
    <col min="16" max="17" width="12" customWidth="1"/>
  </cols>
  <sheetData>
    <row r="1" spans="1:17" ht="18" x14ac:dyDescent="0.4">
      <c r="A1" s="3" t="s">
        <v>30</v>
      </c>
    </row>
    <row r="4" spans="1:17" ht="43.5" customHeight="1" x14ac:dyDescent="0.35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  <c r="N4" s="9" t="s">
        <v>44</v>
      </c>
      <c r="O4" s="9" t="s">
        <v>45</v>
      </c>
      <c r="P4" s="9" t="s">
        <v>46</v>
      </c>
      <c r="Q4" s="9" t="s">
        <v>47</v>
      </c>
    </row>
    <row r="5" spans="1:17" ht="31.5" customHeight="1" x14ac:dyDescent="0.35">
      <c r="A5" s="10" t="s">
        <v>48</v>
      </c>
      <c r="B5" s="7" t="s">
        <v>49</v>
      </c>
      <c r="C5" s="10" t="s">
        <v>50</v>
      </c>
      <c r="D5" s="10">
        <v>4</v>
      </c>
      <c r="E5" s="10">
        <v>5</v>
      </c>
      <c r="F5" s="11">
        <f t="shared" ref="F5:F24" si="0">IF(OR(D5="",E5=""),"",D5*E5)</f>
        <v>20</v>
      </c>
      <c r="G5" s="11" t="str">
        <f>IF(F5="","",IF(F5&gt;=Scales!$B$21,"High",IF(F5&gt;=Scales!$B$22,"Medium","Low")))</f>
        <v>High</v>
      </c>
      <c r="H5" s="11">
        <f>IF(C5="","",IFERROR(INDEX('Gap Assessment'!$I$5:$I$100,MATCH(C5,'Gap Assessment'!$A$5:$A$100,0)),"Not found"))</f>
        <v>2</v>
      </c>
      <c r="I5" s="10" t="s">
        <v>51</v>
      </c>
      <c r="J5" s="7" t="s">
        <v>52</v>
      </c>
      <c r="K5" s="10">
        <v>1</v>
      </c>
      <c r="L5" s="10">
        <v>5</v>
      </c>
      <c r="M5" s="11">
        <f t="shared" ref="M5:M24" si="1">IF(OR(K5="",L5=""),"",K5*L5)</f>
        <v>5</v>
      </c>
      <c r="N5" s="11" t="str">
        <f>IF(M5="","",IF(M5&gt;=Scales!$B$21,"High",IF(M5&gt;=Scales!$B$22,"Medium","Low")))</f>
        <v>Low</v>
      </c>
      <c r="O5" s="7" t="s">
        <v>53</v>
      </c>
      <c r="P5" s="12">
        <v>46356</v>
      </c>
      <c r="Q5" s="10" t="s">
        <v>54</v>
      </c>
    </row>
    <row r="6" spans="1:17" ht="31.5" customHeight="1" x14ac:dyDescent="0.35">
      <c r="A6" s="10" t="s">
        <v>55</v>
      </c>
      <c r="B6" s="7" t="s">
        <v>56</v>
      </c>
      <c r="C6" s="10" t="s">
        <v>57</v>
      </c>
      <c r="D6" s="10">
        <v>4</v>
      </c>
      <c r="E6" s="10">
        <v>4</v>
      </c>
      <c r="F6" s="11">
        <f t="shared" si="0"/>
        <v>16</v>
      </c>
      <c r="G6" s="11" t="str">
        <f>IF(F6="","",IF(F6&gt;=Scales!$B$21,"High",IF(F6&gt;=Scales!$B$22,"Medium","Low")))</f>
        <v>High</v>
      </c>
      <c r="H6" s="11">
        <f>IF(C6="","",IFERROR(INDEX('Gap Assessment'!$I$5:$I$100,MATCH(C6,'Gap Assessment'!$A$5:$A$100,0)),"Not found"))</f>
        <v>2</v>
      </c>
      <c r="I6" s="10" t="s">
        <v>51</v>
      </c>
      <c r="J6" s="7" t="s">
        <v>58</v>
      </c>
      <c r="K6" s="10">
        <v>2</v>
      </c>
      <c r="L6" s="10">
        <v>4</v>
      </c>
      <c r="M6" s="11">
        <f t="shared" si="1"/>
        <v>8</v>
      </c>
      <c r="N6" s="11" t="str">
        <f>IF(M6="","",IF(M6&gt;=Scales!$B$21,"High",IF(M6&gt;=Scales!$B$22,"Medium","Low")))</f>
        <v>Medium</v>
      </c>
      <c r="O6" s="7" t="s">
        <v>59</v>
      </c>
      <c r="P6" s="12">
        <v>46418</v>
      </c>
      <c r="Q6" s="10" t="s">
        <v>54</v>
      </c>
    </row>
    <row r="7" spans="1:17" ht="31.5" customHeight="1" x14ac:dyDescent="0.35">
      <c r="A7" s="10" t="s">
        <v>60</v>
      </c>
      <c r="B7" s="7" t="s">
        <v>61</v>
      </c>
      <c r="C7" s="10" t="s">
        <v>62</v>
      </c>
      <c r="D7" s="10">
        <v>3</v>
      </c>
      <c r="E7" s="10">
        <v>5</v>
      </c>
      <c r="F7" s="11">
        <f t="shared" si="0"/>
        <v>15</v>
      </c>
      <c r="G7" s="11" t="str">
        <f>IF(F7="","",IF(F7&gt;=Scales!$B$21,"High",IF(F7&gt;=Scales!$B$22,"Medium","Low")))</f>
        <v>High</v>
      </c>
      <c r="H7" s="11">
        <f>IF(C7="","",IFERROR(INDEX('Gap Assessment'!$I$5:$I$100,MATCH(C7,'Gap Assessment'!$A$5:$A$100,0)),"Not found"))</f>
        <v>1</v>
      </c>
      <c r="I7" s="10" t="s">
        <v>51</v>
      </c>
      <c r="J7" s="7" t="s">
        <v>63</v>
      </c>
      <c r="K7" s="10">
        <v>1</v>
      </c>
      <c r="L7" s="10">
        <v>5</v>
      </c>
      <c r="M7" s="11">
        <f t="shared" si="1"/>
        <v>5</v>
      </c>
      <c r="N7" s="11" t="str">
        <f>IF(M7="","",IF(M7&gt;=Scales!$B$21,"High",IF(M7&gt;=Scales!$B$22,"Medium","Low")))</f>
        <v>Low</v>
      </c>
      <c r="O7" s="7" t="s">
        <v>53</v>
      </c>
      <c r="P7" s="12">
        <v>46341</v>
      </c>
      <c r="Q7" s="10" t="s">
        <v>54</v>
      </c>
    </row>
    <row r="8" spans="1:17" ht="31.5" customHeight="1" x14ac:dyDescent="0.35">
      <c r="A8" s="10" t="s">
        <v>64</v>
      </c>
      <c r="B8" s="7" t="s">
        <v>65</v>
      </c>
      <c r="C8" s="10" t="s">
        <v>66</v>
      </c>
      <c r="D8" s="10">
        <v>3</v>
      </c>
      <c r="E8" s="10">
        <v>5</v>
      </c>
      <c r="F8" s="11">
        <f t="shared" si="0"/>
        <v>15</v>
      </c>
      <c r="G8" s="11" t="str">
        <f>IF(F8="","",IF(F8&gt;=Scales!$B$21,"High",IF(F8&gt;=Scales!$B$22,"Medium","Low")))</f>
        <v>High</v>
      </c>
      <c r="H8" s="11">
        <f>IF(C8="","",IFERROR(INDEX('Gap Assessment'!$I$5:$I$100,MATCH(C8,'Gap Assessment'!$A$5:$A$100,0)),"Not found"))</f>
        <v>3</v>
      </c>
      <c r="I8" s="10" t="s">
        <v>51</v>
      </c>
      <c r="J8" s="7" t="s">
        <v>67</v>
      </c>
      <c r="K8" s="10">
        <v>1</v>
      </c>
      <c r="L8" s="10">
        <v>5</v>
      </c>
      <c r="M8" s="11">
        <f t="shared" si="1"/>
        <v>5</v>
      </c>
      <c r="N8" s="11" t="str">
        <f>IF(M8="","",IF(M8&gt;=Scales!$B$21,"High",IF(M8&gt;=Scales!$B$22,"Medium","Low")))</f>
        <v>Low</v>
      </c>
      <c r="O8" s="7" t="s">
        <v>68</v>
      </c>
      <c r="P8" s="12">
        <v>46371</v>
      </c>
      <c r="Q8" s="10" t="s">
        <v>54</v>
      </c>
    </row>
    <row r="9" spans="1:17" ht="31.5" customHeight="1" x14ac:dyDescent="0.35">
      <c r="A9" s="10" t="s">
        <v>69</v>
      </c>
      <c r="B9" s="7" t="s">
        <v>70</v>
      </c>
      <c r="C9" s="10" t="s">
        <v>71</v>
      </c>
      <c r="D9" s="10">
        <v>3</v>
      </c>
      <c r="E9" s="10">
        <v>4</v>
      </c>
      <c r="F9" s="11">
        <f t="shared" si="0"/>
        <v>12</v>
      </c>
      <c r="G9" s="11" t="str">
        <f>IF(F9="","",IF(F9&gt;=Scales!$B$21,"High",IF(F9&gt;=Scales!$B$22,"Medium","Low")))</f>
        <v>High</v>
      </c>
      <c r="H9" s="11">
        <f>IF(C9="","",IFERROR(INDEX('Gap Assessment'!$I$5:$I$100,MATCH(C9,'Gap Assessment'!$A$5:$A$100,0)),"Not found"))</f>
        <v>1</v>
      </c>
      <c r="I9" s="10" t="s">
        <v>51</v>
      </c>
      <c r="J9" s="7" t="s">
        <v>72</v>
      </c>
      <c r="K9" s="10">
        <v>1</v>
      </c>
      <c r="L9" s="10">
        <v>4</v>
      </c>
      <c r="M9" s="11">
        <f t="shared" si="1"/>
        <v>4</v>
      </c>
      <c r="N9" s="11" t="str">
        <f>IF(M9="","",IF(M9&gt;=Scales!$B$21,"High",IF(M9&gt;=Scales!$B$22,"Medium","Low")))</f>
        <v>Low</v>
      </c>
      <c r="O9" s="7" t="s">
        <v>53</v>
      </c>
      <c r="P9" s="12">
        <v>46418</v>
      </c>
      <c r="Q9" s="10" t="s">
        <v>54</v>
      </c>
    </row>
    <row r="10" spans="1:17" ht="31.5" customHeight="1" x14ac:dyDescent="0.35">
      <c r="A10" s="10" t="s">
        <v>73</v>
      </c>
      <c r="B10" s="7" t="s">
        <v>74</v>
      </c>
      <c r="C10" s="10" t="s">
        <v>75</v>
      </c>
      <c r="D10" s="10">
        <v>3</v>
      </c>
      <c r="E10" s="10">
        <v>4</v>
      </c>
      <c r="F10" s="11">
        <f t="shared" si="0"/>
        <v>12</v>
      </c>
      <c r="G10" s="11" t="str">
        <f>IF(F10="","",IF(F10&gt;=Scales!$B$21,"High",IF(F10&gt;=Scales!$B$22,"Medium","Low")))</f>
        <v>High</v>
      </c>
      <c r="H10" s="11">
        <f>IF(C10="","",IFERROR(INDEX('Gap Assessment'!$I$5:$I$100,MATCH(C10,'Gap Assessment'!$A$5:$A$100,0)),"Not found"))</f>
        <v>2</v>
      </c>
      <c r="I10" s="10" t="s">
        <v>51</v>
      </c>
      <c r="J10" s="7" t="s">
        <v>76</v>
      </c>
      <c r="K10" s="10">
        <v>1</v>
      </c>
      <c r="L10" s="10">
        <v>4</v>
      </c>
      <c r="M10" s="11">
        <f t="shared" si="1"/>
        <v>4</v>
      </c>
      <c r="N10" s="11" t="str">
        <f>IF(M10="","",IF(M10&gt;=Scales!$B$21,"High",IF(M10&gt;=Scales!$B$22,"Medium","Low")))</f>
        <v>Low</v>
      </c>
      <c r="O10" s="7" t="s">
        <v>59</v>
      </c>
      <c r="P10" s="12">
        <v>46356</v>
      </c>
      <c r="Q10" s="10" t="s">
        <v>54</v>
      </c>
    </row>
    <row r="11" spans="1:17" ht="31.5" customHeight="1" x14ac:dyDescent="0.35">
      <c r="A11" s="10" t="s">
        <v>77</v>
      </c>
      <c r="B11" s="7" t="s">
        <v>78</v>
      </c>
      <c r="C11" s="10" t="s">
        <v>79</v>
      </c>
      <c r="D11" s="10">
        <v>3</v>
      </c>
      <c r="E11" s="10">
        <v>4</v>
      </c>
      <c r="F11" s="11">
        <f t="shared" si="0"/>
        <v>12</v>
      </c>
      <c r="G11" s="11" t="str">
        <f>IF(F11="","",IF(F11&gt;=Scales!$B$21,"High",IF(F11&gt;=Scales!$B$22,"Medium","Low")))</f>
        <v>High</v>
      </c>
      <c r="H11" s="11">
        <f>IF(C11="","",IFERROR(INDEX('Gap Assessment'!$I$5:$I$100,MATCH(C11,'Gap Assessment'!$A$5:$A$100,0)),"Not found"))</f>
        <v>2</v>
      </c>
      <c r="I11" s="10" t="s">
        <v>51</v>
      </c>
      <c r="J11" s="7" t="s">
        <v>80</v>
      </c>
      <c r="K11" s="10">
        <v>1</v>
      </c>
      <c r="L11" s="10">
        <v>4</v>
      </c>
      <c r="M11" s="11">
        <f t="shared" si="1"/>
        <v>4</v>
      </c>
      <c r="N11" s="11" t="str">
        <f>IF(M11="","",IF(M11&gt;=Scales!$B$21,"High",IF(M11&gt;=Scales!$B$22,"Medium","Low")))</f>
        <v>Low</v>
      </c>
      <c r="O11" s="7" t="s">
        <v>53</v>
      </c>
      <c r="P11" s="12">
        <v>46418</v>
      </c>
      <c r="Q11" s="10" t="s">
        <v>54</v>
      </c>
    </row>
    <row r="12" spans="1:17" ht="31.5" customHeight="1" x14ac:dyDescent="0.35">
      <c r="A12" s="10" t="s">
        <v>81</v>
      </c>
      <c r="B12" s="7" t="s">
        <v>82</v>
      </c>
      <c r="C12" s="10" t="s">
        <v>83</v>
      </c>
      <c r="D12" s="10">
        <v>2</v>
      </c>
      <c r="E12" s="10">
        <v>5</v>
      </c>
      <c r="F12" s="11">
        <f t="shared" si="0"/>
        <v>10</v>
      </c>
      <c r="G12" s="11" t="str">
        <f>IF(F12="","",IF(F12&gt;=Scales!$B$21,"High",IF(F12&gt;=Scales!$B$22,"Medium","Low")))</f>
        <v>Medium</v>
      </c>
      <c r="H12" s="11">
        <f>IF(C12="","",IFERROR(INDEX('Gap Assessment'!$I$5:$I$100,MATCH(C12,'Gap Assessment'!$A$5:$A$100,0)),"Not found"))</f>
        <v>2</v>
      </c>
      <c r="I12" s="10" t="s">
        <v>84</v>
      </c>
      <c r="J12" s="7" t="s">
        <v>85</v>
      </c>
      <c r="K12" s="10">
        <v>2</v>
      </c>
      <c r="L12" s="10">
        <v>3</v>
      </c>
      <c r="M12" s="11">
        <f t="shared" si="1"/>
        <v>6</v>
      </c>
      <c r="N12" s="11" t="str">
        <f>IF(M12="","",IF(M12&gt;=Scales!$B$21,"High",IF(M12&gt;=Scales!$B$22,"Medium","Low")))</f>
        <v>Medium</v>
      </c>
      <c r="O12" s="7" t="s">
        <v>86</v>
      </c>
      <c r="P12" s="12">
        <v>46477</v>
      </c>
      <c r="Q12" s="10" t="s">
        <v>54</v>
      </c>
    </row>
    <row r="13" spans="1:17" ht="31.5" customHeight="1" x14ac:dyDescent="0.35">
      <c r="A13" s="10" t="s">
        <v>87</v>
      </c>
      <c r="B13" s="7" t="s">
        <v>88</v>
      </c>
      <c r="C13" s="10" t="s">
        <v>89</v>
      </c>
      <c r="D13" s="10">
        <v>3</v>
      </c>
      <c r="E13" s="10">
        <v>3</v>
      </c>
      <c r="F13" s="11">
        <f t="shared" si="0"/>
        <v>9</v>
      </c>
      <c r="G13" s="11" t="str">
        <f>IF(F13="","",IF(F13&gt;=Scales!$B$21,"High",IF(F13&gt;=Scales!$B$22,"Medium","Low")))</f>
        <v>Medium</v>
      </c>
      <c r="H13" s="11">
        <f>IF(C13="","",IFERROR(INDEX('Gap Assessment'!$I$5:$I$100,MATCH(C13,'Gap Assessment'!$A$5:$A$100,0)),"Not found"))</f>
        <v>2</v>
      </c>
      <c r="I13" s="10" t="s">
        <v>51</v>
      </c>
      <c r="J13" s="7" t="s">
        <v>90</v>
      </c>
      <c r="K13" s="10">
        <v>2</v>
      </c>
      <c r="L13" s="10">
        <v>2</v>
      </c>
      <c r="M13" s="11">
        <f t="shared" si="1"/>
        <v>4</v>
      </c>
      <c r="N13" s="11" t="str">
        <f>IF(M13="","",IF(M13&gt;=Scales!$B$21,"High",IF(M13&gt;=Scales!$B$22,"Medium","Low")))</f>
        <v>Low</v>
      </c>
      <c r="O13" s="7" t="s">
        <v>53</v>
      </c>
      <c r="P13" s="12">
        <v>46477</v>
      </c>
      <c r="Q13" s="10" t="s">
        <v>54</v>
      </c>
    </row>
    <row r="14" spans="1:17" ht="31.5" customHeight="1" x14ac:dyDescent="0.35">
      <c r="A14" s="10" t="s">
        <v>91</v>
      </c>
      <c r="B14" s="7" t="s">
        <v>92</v>
      </c>
      <c r="C14" s="10" t="s">
        <v>93</v>
      </c>
      <c r="D14" s="10">
        <v>2</v>
      </c>
      <c r="E14" s="10">
        <v>2</v>
      </c>
      <c r="F14" s="11">
        <f t="shared" si="0"/>
        <v>4</v>
      </c>
      <c r="G14" s="11" t="str">
        <f>IF(F14="","",IF(F14&gt;=Scales!$B$21,"High",IF(F14&gt;=Scales!$B$22,"Medium","Low")))</f>
        <v>Low</v>
      </c>
      <c r="H14" s="11">
        <f>IF(C14="","",IFERROR(INDEX('Gap Assessment'!$I$5:$I$100,MATCH(C14,'Gap Assessment'!$A$5:$A$100,0)),"Not found"))</f>
        <v>1</v>
      </c>
      <c r="I14" s="10" t="s">
        <v>51</v>
      </c>
      <c r="J14" s="7" t="s">
        <v>94</v>
      </c>
      <c r="K14" s="10">
        <v>1</v>
      </c>
      <c r="L14" s="10">
        <v>2</v>
      </c>
      <c r="M14" s="11">
        <f t="shared" si="1"/>
        <v>2</v>
      </c>
      <c r="N14" s="11" t="str">
        <f>IF(M14="","",IF(M14&gt;=Scales!$B$21,"High",IF(M14&gt;=Scales!$B$22,"Medium","Low")))</f>
        <v>Low</v>
      </c>
      <c r="O14" s="7" t="s">
        <v>53</v>
      </c>
      <c r="P14" s="12">
        <v>46568</v>
      </c>
      <c r="Q14" s="10" t="s">
        <v>54</v>
      </c>
    </row>
    <row r="15" spans="1:17" ht="31.5" customHeight="1" x14ac:dyDescent="0.35">
      <c r="A15" s="10"/>
      <c r="B15" s="7"/>
      <c r="C15" s="10"/>
      <c r="D15" s="10"/>
      <c r="E15" s="10"/>
      <c r="F15" s="11" t="str">
        <f t="shared" si="0"/>
        <v/>
      </c>
      <c r="G15" s="11" t="str">
        <f>IF(F15="","",IF(F15&gt;=Scales!$B$21,"High",IF(F15&gt;=Scales!$B$22,"Medium","Low")))</f>
        <v/>
      </c>
      <c r="H15" s="11" t="str">
        <f>IF(C15="","",IFERROR(INDEX('Gap Assessment'!$I$5:$I$100,MATCH(C15,'Gap Assessment'!$A$5:$A$100,0)),"Not found"))</f>
        <v/>
      </c>
      <c r="I15" s="10"/>
      <c r="J15" s="7"/>
      <c r="K15" s="10"/>
      <c r="L15" s="10"/>
      <c r="M15" s="11" t="str">
        <f t="shared" si="1"/>
        <v/>
      </c>
      <c r="N15" s="11" t="str">
        <f>IF(M15="","",IF(M15&gt;=Scales!$B$21,"High",IF(M15&gt;=Scales!$B$22,"Medium","Low")))</f>
        <v/>
      </c>
      <c r="O15" s="7"/>
      <c r="P15" s="12"/>
      <c r="Q15" s="10"/>
    </row>
    <row r="16" spans="1:17" ht="31.5" customHeight="1" x14ac:dyDescent="0.35">
      <c r="A16" s="10"/>
      <c r="B16" s="7"/>
      <c r="C16" s="10"/>
      <c r="D16" s="10"/>
      <c r="E16" s="10"/>
      <c r="F16" s="11" t="str">
        <f t="shared" si="0"/>
        <v/>
      </c>
      <c r="G16" s="11" t="str">
        <f>IF(F16="","",IF(F16&gt;=Scales!$B$21,"High",IF(F16&gt;=Scales!$B$22,"Medium","Low")))</f>
        <v/>
      </c>
      <c r="H16" s="11" t="str">
        <f>IF(C16="","",IFERROR(INDEX('Gap Assessment'!$I$5:$I$100,MATCH(C16,'Gap Assessment'!$A$5:$A$100,0)),"Not found"))</f>
        <v/>
      </c>
      <c r="I16" s="10"/>
      <c r="J16" s="7"/>
      <c r="K16" s="10"/>
      <c r="L16" s="10"/>
      <c r="M16" s="11" t="str">
        <f t="shared" si="1"/>
        <v/>
      </c>
      <c r="N16" s="11" t="str">
        <f>IF(M16="","",IF(M16&gt;=Scales!$B$21,"High",IF(M16&gt;=Scales!$B$22,"Medium","Low")))</f>
        <v/>
      </c>
      <c r="O16" s="7"/>
      <c r="P16" s="12"/>
      <c r="Q16" s="10"/>
    </row>
    <row r="17" spans="1:17" ht="31.5" customHeight="1" x14ac:dyDescent="0.35">
      <c r="A17" s="10"/>
      <c r="B17" s="7"/>
      <c r="C17" s="10"/>
      <c r="D17" s="10"/>
      <c r="E17" s="10"/>
      <c r="F17" s="11" t="str">
        <f t="shared" si="0"/>
        <v/>
      </c>
      <c r="G17" s="11" t="str">
        <f>IF(F17="","",IF(F17&gt;=Scales!$B$21,"High",IF(F17&gt;=Scales!$B$22,"Medium","Low")))</f>
        <v/>
      </c>
      <c r="H17" s="11" t="str">
        <f>IF(C17="","",IFERROR(INDEX('Gap Assessment'!$I$5:$I$100,MATCH(C17,'Gap Assessment'!$A$5:$A$100,0)),"Not found"))</f>
        <v/>
      </c>
      <c r="I17" s="10"/>
      <c r="J17" s="7"/>
      <c r="K17" s="10"/>
      <c r="L17" s="10"/>
      <c r="M17" s="11" t="str">
        <f t="shared" si="1"/>
        <v/>
      </c>
      <c r="N17" s="11" t="str">
        <f>IF(M17="","",IF(M17&gt;=Scales!$B$21,"High",IF(M17&gt;=Scales!$B$22,"Medium","Low")))</f>
        <v/>
      </c>
      <c r="O17" s="7"/>
      <c r="P17" s="12"/>
      <c r="Q17" s="10"/>
    </row>
    <row r="18" spans="1:17" ht="31.5" customHeight="1" x14ac:dyDescent="0.35">
      <c r="A18" s="10"/>
      <c r="B18" s="7"/>
      <c r="C18" s="10"/>
      <c r="D18" s="10"/>
      <c r="E18" s="10"/>
      <c r="F18" s="11" t="str">
        <f t="shared" si="0"/>
        <v/>
      </c>
      <c r="G18" s="11" t="str">
        <f>IF(F18="","",IF(F18&gt;=Scales!$B$21,"High",IF(F18&gt;=Scales!$B$22,"Medium","Low")))</f>
        <v/>
      </c>
      <c r="H18" s="11" t="str">
        <f>IF(C18="","",IFERROR(INDEX('Gap Assessment'!$I$5:$I$100,MATCH(C18,'Gap Assessment'!$A$5:$A$100,0)),"Not found"))</f>
        <v/>
      </c>
      <c r="I18" s="10"/>
      <c r="J18" s="7"/>
      <c r="K18" s="10"/>
      <c r="L18" s="10"/>
      <c r="M18" s="11" t="str">
        <f t="shared" si="1"/>
        <v/>
      </c>
      <c r="N18" s="11" t="str">
        <f>IF(M18="","",IF(M18&gt;=Scales!$B$21,"High",IF(M18&gt;=Scales!$B$22,"Medium","Low")))</f>
        <v/>
      </c>
      <c r="O18" s="7"/>
      <c r="P18" s="12"/>
      <c r="Q18" s="10"/>
    </row>
    <row r="19" spans="1:17" ht="31.5" customHeight="1" x14ac:dyDescent="0.35">
      <c r="A19" s="10"/>
      <c r="B19" s="7"/>
      <c r="C19" s="10"/>
      <c r="D19" s="10"/>
      <c r="E19" s="10"/>
      <c r="F19" s="11" t="str">
        <f t="shared" si="0"/>
        <v/>
      </c>
      <c r="G19" s="11" t="str">
        <f>IF(F19="","",IF(F19&gt;=Scales!$B$21,"High",IF(F19&gt;=Scales!$B$22,"Medium","Low")))</f>
        <v/>
      </c>
      <c r="H19" s="11" t="str">
        <f>IF(C19="","",IFERROR(INDEX('Gap Assessment'!$I$5:$I$100,MATCH(C19,'Gap Assessment'!$A$5:$A$100,0)),"Not found"))</f>
        <v/>
      </c>
      <c r="I19" s="10"/>
      <c r="J19" s="7"/>
      <c r="K19" s="10"/>
      <c r="L19" s="10"/>
      <c r="M19" s="11" t="str">
        <f t="shared" si="1"/>
        <v/>
      </c>
      <c r="N19" s="11" t="str">
        <f>IF(M19="","",IF(M19&gt;=Scales!$B$21,"High",IF(M19&gt;=Scales!$B$22,"Medium","Low")))</f>
        <v/>
      </c>
      <c r="O19" s="7"/>
      <c r="P19" s="12"/>
      <c r="Q19" s="10"/>
    </row>
    <row r="20" spans="1:17" ht="31.5" customHeight="1" x14ac:dyDescent="0.35">
      <c r="A20" s="10"/>
      <c r="B20" s="7"/>
      <c r="C20" s="10"/>
      <c r="D20" s="10"/>
      <c r="E20" s="10"/>
      <c r="F20" s="11" t="str">
        <f t="shared" si="0"/>
        <v/>
      </c>
      <c r="G20" s="11" t="str">
        <f>IF(F20="","",IF(F20&gt;=Scales!$B$21,"High",IF(F20&gt;=Scales!$B$22,"Medium","Low")))</f>
        <v/>
      </c>
      <c r="H20" s="11" t="str">
        <f>IF(C20="","",IFERROR(INDEX('Gap Assessment'!$I$5:$I$100,MATCH(C20,'Gap Assessment'!$A$5:$A$100,0)),"Not found"))</f>
        <v/>
      </c>
      <c r="I20" s="10"/>
      <c r="J20" s="7"/>
      <c r="K20" s="10"/>
      <c r="L20" s="10"/>
      <c r="M20" s="11" t="str">
        <f t="shared" si="1"/>
        <v/>
      </c>
      <c r="N20" s="11" t="str">
        <f>IF(M20="","",IF(M20&gt;=Scales!$B$21,"High",IF(M20&gt;=Scales!$B$22,"Medium","Low")))</f>
        <v/>
      </c>
      <c r="O20" s="7"/>
      <c r="P20" s="12"/>
      <c r="Q20" s="10"/>
    </row>
    <row r="21" spans="1:17" ht="31.5" customHeight="1" x14ac:dyDescent="0.35">
      <c r="A21" s="10"/>
      <c r="B21" s="7"/>
      <c r="C21" s="10"/>
      <c r="D21" s="10"/>
      <c r="E21" s="10"/>
      <c r="F21" s="11" t="str">
        <f t="shared" si="0"/>
        <v/>
      </c>
      <c r="G21" s="11" t="str">
        <f>IF(F21="","",IF(F21&gt;=Scales!$B$21,"High",IF(F21&gt;=Scales!$B$22,"Medium","Low")))</f>
        <v/>
      </c>
      <c r="H21" s="11" t="str">
        <f>IF(C21="","",IFERROR(INDEX('Gap Assessment'!$I$5:$I$100,MATCH(C21,'Gap Assessment'!$A$5:$A$100,0)),"Not found"))</f>
        <v/>
      </c>
      <c r="I21" s="10"/>
      <c r="J21" s="7"/>
      <c r="K21" s="10"/>
      <c r="L21" s="10"/>
      <c r="M21" s="11" t="str">
        <f t="shared" si="1"/>
        <v/>
      </c>
      <c r="N21" s="11" t="str">
        <f>IF(M21="","",IF(M21&gt;=Scales!$B$21,"High",IF(M21&gt;=Scales!$B$22,"Medium","Low")))</f>
        <v/>
      </c>
      <c r="O21" s="7"/>
      <c r="P21" s="12"/>
      <c r="Q21" s="10"/>
    </row>
    <row r="22" spans="1:17" ht="31.5" customHeight="1" x14ac:dyDescent="0.35">
      <c r="A22" s="10"/>
      <c r="B22" s="7"/>
      <c r="C22" s="10"/>
      <c r="D22" s="10"/>
      <c r="E22" s="10"/>
      <c r="F22" s="11" t="str">
        <f t="shared" si="0"/>
        <v/>
      </c>
      <c r="G22" s="11" t="str">
        <f>IF(F22="","",IF(F22&gt;=Scales!$B$21,"High",IF(F22&gt;=Scales!$B$22,"Medium","Low")))</f>
        <v/>
      </c>
      <c r="H22" s="11" t="str">
        <f>IF(C22="","",IFERROR(INDEX('Gap Assessment'!$I$5:$I$100,MATCH(C22,'Gap Assessment'!$A$5:$A$100,0)),"Not found"))</f>
        <v/>
      </c>
      <c r="I22" s="10"/>
      <c r="J22" s="7"/>
      <c r="K22" s="10"/>
      <c r="L22" s="10"/>
      <c r="M22" s="11" t="str">
        <f t="shared" si="1"/>
        <v/>
      </c>
      <c r="N22" s="11" t="str">
        <f>IF(M22="","",IF(M22&gt;=Scales!$B$21,"High",IF(M22&gt;=Scales!$B$22,"Medium","Low")))</f>
        <v/>
      </c>
      <c r="O22" s="7"/>
      <c r="P22" s="12"/>
      <c r="Q22" s="10"/>
    </row>
    <row r="23" spans="1:17" ht="31.5" customHeight="1" x14ac:dyDescent="0.35">
      <c r="A23" s="10"/>
      <c r="B23" s="7"/>
      <c r="C23" s="10"/>
      <c r="D23" s="10"/>
      <c r="E23" s="10"/>
      <c r="F23" s="11" t="str">
        <f t="shared" si="0"/>
        <v/>
      </c>
      <c r="G23" s="11" t="str">
        <f>IF(F23="","",IF(F23&gt;=Scales!$B$21,"High",IF(F23&gt;=Scales!$B$22,"Medium","Low")))</f>
        <v/>
      </c>
      <c r="H23" s="11" t="str">
        <f>IF(C23="","",IFERROR(INDEX('Gap Assessment'!$I$5:$I$100,MATCH(C23,'Gap Assessment'!$A$5:$A$100,0)),"Not found"))</f>
        <v/>
      </c>
      <c r="I23" s="10"/>
      <c r="J23" s="7"/>
      <c r="K23" s="10"/>
      <c r="L23" s="10"/>
      <c r="M23" s="11" t="str">
        <f t="shared" si="1"/>
        <v/>
      </c>
      <c r="N23" s="11" t="str">
        <f>IF(M23="","",IF(M23&gt;=Scales!$B$21,"High",IF(M23&gt;=Scales!$B$22,"Medium","Low")))</f>
        <v/>
      </c>
      <c r="O23" s="7"/>
      <c r="P23" s="12"/>
      <c r="Q23" s="10"/>
    </row>
    <row r="24" spans="1:17" ht="31.5" customHeight="1" x14ac:dyDescent="0.35">
      <c r="A24" s="10"/>
      <c r="B24" s="7"/>
      <c r="C24" s="10"/>
      <c r="D24" s="10"/>
      <c r="E24" s="10"/>
      <c r="F24" s="11" t="str">
        <f t="shared" si="0"/>
        <v/>
      </c>
      <c r="G24" s="11" t="str">
        <f>IF(F24="","",IF(F24&gt;=Scales!$B$21,"High",IF(F24&gt;=Scales!$B$22,"Medium","Low")))</f>
        <v/>
      </c>
      <c r="H24" s="11" t="str">
        <f>IF(C24="","",IFERROR(INDEX('Gap Assessment'!$I$5:$I$100,MATCH(C24,'Gap Assessment'!$A$5:$A$100,0)),"Not found"))</f>
        <v/>
      </c>
      <c r="I24" s="10"/>
      <c r="J24" s="7"/>
      <c r="K24" s="10"/>
      <c r="L24" s="10"/>
      <c r="M24" s="11" t="str">
        <f t="shared" si="1"/>
        <v/>
      </c>
      <c r="N24" s="11" t="str">
        <f>IF(M24="","",IF(M24&gt;=Scales!$B$21,"High",IF(M24&gt;=Scales!$B$22,"Medium","Low")))</f>
        <v/>
      </c>
      <c r="O24" s="7"/>
      <c r="P24" s="12"/>
      <c r="Q24" s="10"/>
    </row>
  </sheetData>
  <autoFilter ref="A4:Q24" xr:uid="{00000000-0009-0000-0000-000001000000}"/>
  <conditionalFormatting sqref="G5:G24">
    <cfRule type="expression" dxfId="8" priority="2">
      <formula>G5="High"</formula>
    </cfRule>
    <cfRule type="expression" dxfId="7" priority="3">
      <formula>G5="Medium"</formula>
    </cfRule>
    <cfRule type="expression" dxfId="6" priority="4">
      <formula>G5="Low"</formula>
    </cfRule>
  </conditionalFormatting>
  <conditionalFormatting sqref="N5:N24">
    <cfRule type="expression" dxfId="5" priority="5">
      <formula>N5="High"</formula>
    </cfRule>
    <cfRule type="expression" dxfId="4" priority="6">
      <formula>N5="Medium"</formula>
    </cfRule>
    <cfRule type="expression" dxfId="3" priority="7">
      <formula>N5="Low"</formula>
    </cfRule>
  </conditionalFormatting>
  <dataValidations count="3">
    <dataValidation type="whole" showErrorMessage="1" errorTitle="Invalid score" error="Enter a whole number from 1 to 5." sqref="D5:E24 K5:L24" xr:uid="{00000000-0002-0000-0100-000000000000}">
      <formula1>1</formula1>
      <formula2>5</formula2>
    </dataValidation>
    <dataValidation type="list" allowBlank="1" sqref="I5:I24" xr:uid="{00000000-0002-0000-0100-000001000000}">
      <formula1>"Mitigate,Accept,Transfer,Avoid"</formula1>
      <formula2>0</formula2>
    </dataValidation>
    <dataValidation type="list" allowBlank="1" sqref="Q5:Q24" xr:uid="{00000000-0002-0000-0100-000002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3000000}">
          <x14:formula1>
            <xm:f>'Gap Assessment'!$A$5:$A$34</xm:f>
          </x14:formula1>
          <x14:formula2>
            <xm:f>0</xm:f>
          </x14:formula2>
          <xm:sqref>C5:C24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Normal="100" workbookViewId="0">
      <pane xSplit="4" ySplit="4" topLeftCell="E26" activePane="bottomRight" state="frozen"/>
      <selection pane="topRight" activeCell="E1" sqref="E1"/>
      <selection pane="bottomLeft" activeCell="A5" sqref="A5"/>
      <selection pane="bottomRight"/>
    </sheetView>
  </sheetViews>
  <sheetFormatPr defaultColWidth="8.6328125" defaultRowHeight="14.5" x14ac:dyDescent="0.35"/>
  <cols>
    <col min="1" max="1" width="10" customWidth="1"/>
    <col min="2" max="2" width="11" customWidth="1"/>
    <col min="3" max="3" width="26" customWidth="1"/>
    <col min="4" max="4" width="38" customWidth="1"/>
    <col min="5" max="5" width="36" customWidth="1"/>
    <col min="6" max="6" width="46" customWidth="1"/>
    <col min="7" max="8" width="10" customWidth="1"/>
    <col min="9" max="9" width="7" customWidth="1"/>
    <col min="10" max="12" width="10" customWidth="1"/>
    <col min="13" max="13" width="44" customWidth="1"/>
  </cols>
  <sheetData>
    <row r="1" spans="1:13" ht="18" x14ac:dyDescent="0.4">
      <c r="A1" s="3" t="s">
        <v>95</v>
      </c>
    </row>
    <row r="2" spans="1:13" x14ac:dyDescent="0.35">
      <c r="A2" s="4" t="s">
        <v>96</v>
      </c>
    </row>
    <row r="4" spans="1:13" ht="43.5" customHeight="1" x14ac:dyDescent="0.35">
      <c r="A4" s="9" t="s">
        <v>33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  <c r="G4" s="9" t="s">
        <v>102</v>
      </c>
      <c r="H4" s="9" t="s">
        <v>103</v>
      </c>
      <c r="I4" s="9" t="s">
        <v>104</v>
      </c>
      <c r="J4" s="9" t="s">
        <v>35</v>
      </c>
      <c r="K4" s="9" t="s">
        <v>105</v>
      </c>
      <c r="L4" s="9" t="s">
        <v>106</v>
      </c>
      <c r="M4" s="9" t="s">
        <v>107</v>
      </c>
    </row>
    <row r="5" spans="1:13" ht="43.5" customHeight="1" x14ac:dyDescent="0.35">
      <c r="A5" s="10" t="s">
        <v>108</v>
      </c>
      <c r="B5" s="10" t="s">
        <v>109</v>
      </c>
      <c r="C5" s="7" t="s">
        <v>110</v>
      </c>
      <c r="D5" s="7" t="s">
        <v>111</v>
      </c>
      <c r="E5" s="7" t="s">
        <v>112</v>
      </c>
      <c r="F5" s="7" t="s">
        <v>113</v>
      </c>
      <c r="G5" s="10">
        <v>1</v>
      </c>
      <c r="H5" s="10">
        <v>3</v>
      </c>
      <c r="I5" s="11">
        <f t="shared" ref="I5:I34" si="0">IF(OR(G5="",H5=""),"",MAX(0,H5-G5))</f>
        <v>2</v>
      </c>
      <c r="J5" s="10">
        <v>4</v>
      </c>
      <c r="K5" s="11">
        <f t="shared" ref="K5:K34" si="1">IF(OR(I5="",J5=""),"",I5*J5)</f>
        <v>8</v>
      </c>
      <c r="L5" s="11" t="str">
        <f>IF(K5="","",IF(K5&gt;=Scales!$B$21,"High",IF(K5&gt;=Scales!$B$22,"Medium",IF(K5&gt;0,"Low","None"))))</f>
        <v>Medium</v>
      </c>
      <c r="M5" s="7" t="s">
        <v>114</v>
      </c>
    </row>
    <row r="6" spans="1:13" ht="43.5" customHeight="1" x14ac:dyDescent="0.35">
      <c r="A6" s="10" t="s">
        <v>115</v>
      </c>
      <c r="B6" s="10" t="s">
        <v>109</v>
      </c>
      <c r="C6" s="7" t="s">
        <v>116</v>
      </c>
      <c r="D6" s="7" t="s">
        <v>117</v>
      </c>
      <c r="E6" s="7" t="s">
        <v>118</v>
      </c>
      <c r="F6" s="7" t="s">
        <v>119</v>
      </c>
      <c r="G6" s="10">
        <v>0</v>
      </c>
      <c r="H6" s="10">
        <v>2</v>
      </c>
      <c r="I6" s="11">
        <f t="shared" si="0"/>
        <v>2</v>
      </c>
      <c r="J6" s="10">
        <v>3</v>
      </c>
      <c r="K6" s="11">
        <f t="shared" si="1"/>
        <v>6</v>
      </c>
      <c r="L6" s="11" t="str">
        <f>IF(K6="","",IF(K6&gt;=Scales!$B$21,"High",IF(K6&gt;=Scales!$B$22,"Medium",IF(K6&gt;0,"Low","None"))))</f>
        <v>Medium</v>
      </c>
      <c r="M6" s="7" t="s">
        <v>120</v>
      </c>
    </row>
    <row r="7" spans="1:13" ht="43.5" customHeight="1" x14ac:dyDescent="0.35">
      <c r="A7" s="10" t="s">
        <v>121</v>
      </c>
      <c r="B7" s="10" t="s">
        <v>109</v>
      </c>
      <c r="C7" s="7" t="s">
        <v>122</v>
      </c>
      <c r="D7" s="7" t="s">
        <v>123</v>
      </c>
      <c r="E7" s="7" t="s">
        <v>124</v>
      </c>
      <c r="F7" s="7" t="s">
        <v>125</v>
      </c>
      <c r="G7" s="10">
        <v>1</v>
      </c>
      <c r="H7" s="10">
        <v>3</v>
      </c>
      <c r="I7" s="11">
        <f t="shared" si="0"/>
        <v>2</v>
      </c>
      <c r="J7" s="10">
        <v>3</v>
      </c>
      <c r="K7" s="11">
        <f t="shared" si="1"/>
        <v>6</v>
      </c>
      <c r="L7" s="11" t="str">
        <f>IF(K7="","",IF(K7&gt;=Scales!$B$21,"High",IF(K7&gt;=Scales!$B$22,"Medium",IF(K7&gt;0,"Low","None"))))</f>
        <v>Medium</v>
      </c>
      <c r="M7" s="7" t="s">
        <v>126</v>
      </c>
    </row>
    <row r="8" spans="1:13" ht="43.5" customHeight="1" x14ac:dyDescent="0.35">
      <c r="A8" s="10" t="s">
        <v>127</v>
      </c>
      <c r="B8" s="10" t="s">
        <v>109</v>
      </c>
      <c r="C8" s="7" t="s">
        <v>128</v>
      </c>
      <c r="D8" s="7" t="s">
        <v>129</v>
      </c>
      <c r="E8" s="7" t="s">
        <v>130</v>
      </c>
      <c r="F8" s="7" t="s">
        <v>131</v>
      </c>
      <c r="G8" s="10">
        <v>0</v>
      </c>
      <c r="H8" s="10">
        <v>3</v>
      </c>
      <c r="I8" s="11">
        <f t="shared" si="0"/>
        <v>3</v>
      </c>
      <c r="J8" s="10">
        <v>4</v>
      </c>
      <c r="K8" s="11">
        <f t="shared" si="1"/>
        <v>12</v>
      </c>
      <c r="L8" s="11" t="str">
        <f>IF(K8="","",IF(K8&gt;=Scales!$B$21,"High",IF(K8&gt;=Scales!$B$22,"Medium",IF(K8&gt;0,"Low","None"))))</f>
        <v>High</v>
      </c>
      <c r="M8" s="7" t="s">
        <v>132</v>
      </c>
    </row>
    <row r="9" spans="1:13" ht="43.5" customHeight="1" x14ac:dyDescent="0.35">
      <c r="A9" s="10" t="s">
        <v>83</v>
      </c>
      <c r="B9" s="10" t="s">
        <v>109</v>
      </c>
      <c r="C9" s="7" t="s">
        <v>133</v>
      </c>
      <c r="D9" s="7" t="s">
        <v>134</v>
      </c>
      <c r="E9" s="7" t="s">
        <v>135</v>
      </c>
      <c r="F9" s="7" t="s">
        <v>136</v>
      </c>
      <c r="G9" s="10">
        <v>0</v>
      </c>
      <c r="H9" s="10">
        <v>2</v>
      </c>
      <c r="I9" s="11">
        <f t="shared" si="0"/>
        <v>2</v>
      </c>
      <c r="J9" s="10">
        <v>3</v>
      </c>
      <c r="K9" s="11">
        <f t="shared" si="1"/>
        <v>6</v>
      </c>
      <c r="L9" s="11" t="str">
        <f>IF(K9="","",IF(K9&gt;=Scales!$B$21,"High",IF(K9&gt;=Scales!$B$22,"Medium",IF(K9&gt;0,"Low","None"))))</f>
        <v>Medium</v>
      </c>
      <c r="M9" s="7" t="s">
        <v>137</v>
      </c>
    </row>
    <row r="10" spans="1:13" ht="43.5" customHeight="1" x14ac:dyDescent="0.35">
      <c r="A10" s="10" t="s">
        <v>138</v>
      </c>
      <c r="B10" s="10" t="s">
        <v>139</v>
      </c>
      <c r="C10" s="7" t="s">
        <v>140</v>
      </c>
      <c r="D10" s="7" t="s">
        <v>141</v>
      </c>
      <c r="E10" s="7" t="s">
        <v>142</v>
      </c>
      <c r="F10" s="7" t="s">
        <v>143</v>
      </c>
      <c r="G10" s="10">
        <v>1</v>
      </c>
      <c r="H10" s="10">
        <v>3</v>
      </c>
      <c r="I10" s="11">
        <f t="shared" si="0"/>
        <v>2</v>
      </c>
      <c r="J10" s="10">
        <v>3</v>
      </c>
      <c r="K10" s="11">
        <f t="shared" si="1"/>
        <v>6</v>
      </c>
      <c r="L10" s="11" t="str">
        <f>IF(K10="","",IF(K10&gt;=Scales!$B$21,"High",IF(K10&gt;=Scales!$B$22,"Medium",IF(K10&gt;0,"Low","None"))))</f>
        <v>Medium</v>
      </c>
      <c r="M10" s="7" t="s">
        <v>144</v>
      </c>
    </row>
    <row r="11" spans="1:13" ht="43.5" customHeight="1" x14ac:dyDescent="0.35">
      <c r="A11" s="10" t="s">
        <v>145</v>
      </c>
      <c r="B11" s="10" t="s">
        <v>139</v>
      </c>
      <c r="C11" s="7" t="s">
        <v>140</v>
      </c>
      <c r="D11" s="7" t="s">
        <v>146</v>
      </c>
      <c r="E11" s="7" t="s">
        <v>147</v>
      </c>
      <c r="F11" s="7" t="s">
        <v>148</v>
      </c>
      <c r="G11" s="10">
        <v>1</v>
      </c>
      <c r="H11" s="10">
        <v>3</v>
      </c>
      <c r="I11" s="11">
        <f t="shared" si="0"/>
        <v>2</v>
      </c>
      <c r="J11" s="10">
        <v>3</v>
      </c>
      <c r="K11" s="11">
        <f t="shared" si="1"/>
        <v>6</v>
      </c>
      <c r="L11" s="11" t="str">
        <f>IF(K11="","",IF(K11&gt;=Scales!$B$21,"High",IF(K11&gt;=Scales!$B$22,"Medium",IF(K11&gt;0,"Low","None"))))</f>
        <v>Medium</v>
      </c>
      <c r="M11" s="7" t="s">
        <v>149</v>
      </c>
    </row>
    <row r="12" spans="1:13" ht="43.5" customHeight="1" x14ac:dyDescent="0.35">
      <c r="A12" s="10" t="s">
        <v>150</v>
      </c>
      <c r="B12" s="10" t="s">
        <v>139</v>
      </c>
      <c r="C12" s="7" t="s">
        <v>151</v>
      </c>
      <c r="D12" s="7" t="s">
        <v>152</v>
      </c>
      <c r="E12" s="7" t="s">
        <v>153</v>
      </c>
      <c r="F12" s="7" t="s">
        <v>154</v>
      </c>
      <c r="G12" s="10">
        <v>0</v>
      </c>
      <c r="H12" s="10">
        <v>3</v>
      </c>
      <c r="I12" s="11">
        <f t="shared" si="0"/>
        <v>3</v>
      </c>
      <c r="J12" s="10">
        <v>4</v>
      </c>
      <c r="K12" s="11">
        <f t="shared" si="1"/>
        <v>12</v>
      </c>
      <c r="L12" s="11" t="str">
        <f>IF(K12="","",IF(K12&gt;=Scales!$B$21,"High",IF(K12&gt;=Scales!$B$22,"Medium",IF(K12&gt;0,"Low","None"))))</f>
        <v>High</v>
      </c>
      <c r="M12" s="7" t="s">
        <v>155</v>
      </c>
    </row>
    <row r="13" spans="1:13" ht="43.5" customHeight="1" x14ac:dyDescent="0.35">
      <c r="A13" s="10" t="s">
        <v>156</v>
      </c>
      <c r="B13" s="10" t="s">
        <v>139</v>
      </c>
      <c r="C13" s="7" t="s">
        <v>151</v>
      </c>
      <c r="D13" s="7" t="s">
        <v>157</v>
      </c>
      <c r="E13" s="7" t="s">
        <v>158</v>
      </c>
      <c r="F13" s="7" t="s">
        <v>159</v>
      </c>
      <c r="G13" s="10">
        <v>0</v>
      </c>
      <c r="H13" s="10">
        <v>3</v>
      </c>
      <c r="I13" s="11">
        <f t="shared" si="0"/>
        <v>3</v>
      </c>
      <c r="J13" s="10">
        <v>4</v>
      </c>
      <c r="K13" s="11">
        <f t="shared" si="1"/>
        <v>12</v>
      </c>
      <c r="L13" s="11" t="str">
        <f>IF(K13="","",IF(K13&gt;=Scales!$B$21,"High",IF(K13&gt;=Scales!$B$22,"Medium",IF(K13&gt;0,"Low","None"))))</f>
        <v>High</v>
      </c>
      <c r="M13" s="7" t="s">
        <v>160</v>
      </c>
    </row>
    <row r="14" spans="1:13" ht="43.5" customHeight="1" x14ac:dyDescent="0.35">
      <c r="A14" s="10" t="s">
        <v>75</v>
      </c>
      <c r="B14" s="10" t="s">
        <v>161</v>
      </c>
      <c r="C14" s="7" t="s">
        <v>162</v>
      </c>
      <c r="D14" s="7" t="s">
        <v>163</v>
      </c>
      <c r="E14" s="7" t="s">
        <v>164</v>
      </c>
      <c r="F14" s="7" t="s">
        <v>165</v>
      </c>
      <c r="G14" s="10">
        <v>1</v>
      </c>
      <c r="H14" s="10">
        <v>3</v>
      </c>
      <c r="I14" s="11">
        <f t="shared" si="0"/>
        <v>2</v>
      </c>
      <c r="J14" s="10">
        <v>4</v>
      </c>
      <c r="K14" s="11">
        <f t="shared" si="1"/>
        <v>8</v>
      </c>
      <c r="L14" s="11" t="str">
        <f>IF(K14="","",IF(K14&gt;=Scales!$B$21,"High",IF(K14&gt;=Scales!$B$22,"Medium",IF(K14&gt;0,"Low","None"))))</f>
        <v>Medium</v>
      </c>
      <c r="M14" s="7" t="s">
        <v>166</v>
      </c>
    </row>
    <row r="15" spans="1:13" ht="43.5" customHeight="1" x14ac:dyDescent="0.35">
      <c r="A15" s="10" t="s">
        <v>50</v>
      </c>
      <c r="B15" s="10" t="s">
        <v>161</v>
      </c>
      <c r="C15" s="7" t="s">
        <v>162</v>
      </c>
      <c r="D15" s="7" t="s">
        <v>167</v>
      </c>
      <c r="E15" s="7" t="s">
        <v>168</v>
      </c>
      <c r="F15" s="7" t="s">
        <v>169</v>
      </c>
      <c r="G15" s="10">
        <v>1</v>
      </c>
      <c r="H15" s="10">
        <v>3</v>
      </c>
      <c r="I15" s="11">
        <f t="shared" si="0"/>
        <v>2</v>
      </c>
      <c r="J15" s="10">
        <v>5</v>
      </c>
      <c r="K15" s="11">
        <f t="shared" si="1"/>
        <v>10</v>
      </c>
      <c r="L15" s="11" t="str">
        <f>IF(K15="","",IF(K15&gt;=Scales!$B$21,"High",IF(K15&gt;=Scales!$B$22,"Medium",IF(K15&gt;0,"Low","None"))))</f>
        <v>Medium</v>
      </c>
      <c r="M15" s="7" t="s">
        <v>170</v>
      </c>
    </row>
    <row r="16" spans="1:13" ht="43.5" customHeight="1" x14ac:dyDescent="0.35">
      <c r="A16" s="10" t="s">
        <v>171</v>
      </c>
      <c r="B16" s="10" t="s">
        <v>161</v>
      </c>
      <c r="C16" s="7" t="s">
        <v>162</v>
      </c>
      <c r="D16" s="7" t="s">
        <v>172</v>
      </c>
      <c r="E16" s="7" t="s">
        <v>173</v>
      </c>
      <c r="F16" s="7" t="s">
        <v>174</v>
      </c>
      <c r="G16" s="10">
        <v>1</v>
      </c>
      <c r="H16" s="10">
        <v>3</v>
      </c>
      <c r="I16" s="11">
        <f t="shared" si="0"/>
        <v>2</v>
      </c>
      <c r="J16" s="10">
        <v>5</v>
      </c>
      <c r="K16" s="11">
        <f t="shared" si="1"/>
        <v>10</v>
      </c>
      <c r="L16" s="11" t="str">
        <f>IF(K16="","",IF(K16&gt;=Scales!$B$21,"High",IF(K16&gt;=Scales!$B$22,"Medium",IF(K16&gt;0,"Low","None"))))</f>
        <v>Medium</v>
      </c>
      <c r="M16" s="7" t="s">
        <v>175</v>
      </c>
    </row>
    <row r="17" spans="1:13" ht="43.5" customHeight="1" x14ac:dyDescent="0.35">
      <c r="A17" s="10" t="s">
        <v>57</v>
      </c>
      <c r="B17" s="10" t="s">
        <v>161</v>
      </c>
      <c r="C17" s="7" t="s">
        <v>176</v>
      </c>
      <c r="D17" s="7" t="s">
        <v>177</v>
      </c>
      <c r="E17" s="7" t="s">
        <v>178</v>
      </c>
      <c r="F17" s="7" t="s">
        <v>179</v>
      </c>
      <c r="G17" s="10">
        <v>1</v>
      </c>
      <c r="H17" s="10">
        <v>3</v>
      </c>
      <c r="I17" s="11">
        <f t="shared" si="0"/>
        <v>2</v>
      </c>
      <c r="J17" s="10">
        <v>4</v>
      </c>
      <c r="K17" s="11">
        <f t="shared" si="1"/>
        <v>8</v>
      </c>
      <c r="L17" s="11" t="str">
        <f>IF(K17="","",IF(K17&gt;=Scales!$B$21,"High",IF(K17&gt;=Scales!$B$22,"Medium",IF(K17&gt;0,"Low","None"))))</f>
        <v>Medium</v>
      </c>
      <c r="M17" s="7" t="s">
        <v>180</v>
      </c>
    </row>
    <row r="18" spans="1:13" ht="43.5" customHeight="1" x14ac:dyDescent="0.35">
      <c r="A18" s="10" t="s">
        <v>71</v>
      </c>
      <c r="B18" s="10" t="s">
        <v>161</v>
      </c>
      <c r="C18" s="7" t="s">
        <v>181</v>
      </c>
      <c r="D18" s="7" t="s">
        <v>182</v>
      </c>
      <c r="E18" s="7" t="s">
        <v>183</v>
      </c>
      <c r="F18" s="7" t="s">
        <v>184</v>
      </c>
      <c r="G18" s="10">
        <v>2</v>
      </c>
      <c r="H18" s="10">
        <v>3</v>
      </c>
      <c r="I18" s="11">
        <f t="shared" si="0"/>
        <v>1</v>
      </c>
      <c r="J18" s="10">
        <v>4</v>
      </c>
      <c r="K18" s="11">
        <f t="shared" si="1"/>
        <v>4</v>
      </c>
      <c r="L18" s="11" t="str">
        <f>IF(K18="","",IF(K18&gt;=Scales!$B$21,"High",IF(K18&gt;=Scales!$B$22,"Medium",IF(K18&gt;0,"Low","None"))))</f>
        <v>Low</v>
      </c>
      <c r="M18" s="7" t="s">
        <v>72</v>
      </c>
    </row>
    <row r="19" spans="1:13" ht="43.5" customHeight="1" x14ac:dyDescent="0.35">
      <c r="A19" s="10" t="s">
        <v>62</v>
      </c>
      <c r="B19" s="10" t="s">
        <v>161</v>
      </c>
      <c r="C19" s="7" t="s">
        <v>181</v>
      </c>
      <c r="D19" s="7" t="s">
        <v>185</v>
      </c>
      <c r="E19" s="7" t="s">
        <v>186</v>
      </c>
      <c r="F19" s="7" t="s">
        <v>187</v>
      </c>
      <c r="G19" s="10">
        <v>2</v>
      </c>
      <c r="H19" s="10">
        <v>3</v>
      </c>
      <c r="I19" s="11">
        <f t="shared" si="0"/>
        <v>1</v>
      </c>
      <c r="J19" s="10">
        <v>5</v>
      </c>
      <c r="K19" s="11">
        <f t="shared" si="1"/>
        <v>5</v>
      </c>
      <c r="L19" s="11" t="str">
        <f>IF(K19="","",IF(K19&gt;=Scales!$B$21,"High",IF(K19&gt;=Scales!$B$22,"Medium",IF(K19&gt;0,"Low","None"))))</f>
        <v>Low</v>
      </c>
      <c r="M19" s="7" t="s">
        <v>188</v>
      </c>
    </row>
    <row r="20" spans="1:13" ht="43.5" customHeight="1" x14ac:dyDescent="0.35">
      <c r="A20" s="10" t="s">
        <v>79</v>
      </c>
      <c r="B20" s="10" t="s">
        <v>161</v>
      </c>
      <c r="C20" s="7" t="s">
        <v>189</v>
      </c>
      <c r="D20" s="7" t="s">
        <v>190</v>
      </c>
      <c r="E20" s="7" t="s">
        <v>191</v>
      </c>
      <c r="F20" s="7" t="s">
        <v>192</v>
      </c>
      <c r="G20" s="10">
        <v>1</v>
      </c>
      <c r="H20" s="10">
        <v>3</v>
      </c>
      <c r="I20" s="11">
        <f t="shared" si="0"/>
        <v>2</v>
      </c>
      <c r="J20" s="10">
        <v>4</v>
      </c>
      <c r="K20" s="11">
        <f t="shared" si="1"/>
        <v>8</v>
      </c>
      <c r="L20" s="11" t="str">
        <f>IF(K20="","",IF(K20&gt;=Scales!$B$21,"High",IF(K20&gt;=Scales!$B$22,"Medium",IF(K20&gt;0,"Low","None"))))</f>
        <v>Medium</v>
      </c>
      <c r="M20" s="7" t="s">
        <v>193</v>
      </c>
    </row>
    <row r="21" spans="1:13" ht="43.5" customHeight="1" x14ac:dyDescent="0.35">
      <c r="A21" s="10" t="s">
        <v>93</v>
      </c>
      <c r="B21" s="10" t="s">
        <v>161</v>
      </c>
      <c r="C21" s="7" t="s">
        <v>194</v>
      </c>
      <c r="D21" s="7" t="s">
        <v>195</v>
      </c>
      <c r="E21" s="7" t="s">
        <v>196</v>
      </c>
      <c r="F21" s="7" t="s">
        <v>197</v>
      </c>
      <c r="G21" s="10">
        <v>2</v>
      </c>
      <c r="H21" s="10">
        <v>3</v>
      </c>
      <c r="I21" s="11">
        <f t="shared" si="0"/>
        <v>1</v>
      </c>
      <c r="J21" s="10">
        <v>3</v>
      </c>
      <c r="K21" s="11">
        <f t="shared" si="1"/>
        <v>3</v>
      </c>
      <c r="L21" s="11" t="str">
        <f>IF(K21="","",IF(K21&gt;=Scales!$B$21,"High",IF(K21&gt;=Scales!$B$22,"Medium",IF(K21&gt;0,"Low","None"))))</f>
        <v>Low</v>
      </c>
      <c r="M21" s="7" t="s">
        <v>198</v>
      </c>
    </row>
    <row r="22" spans="1:13" ht="43.5" customHeight="1" x14ac:dyDescent="0.35">
      <c r="A22" s="10" t="s">
        <v>199</v>
      </c>
      <c r="B22" s="10" t="s">
        <v>200</v>
      </c>
      <c r="C22" s="7" t="s">
        <v>201</v>
      </c>
      <c r="D22" s="7" t="s">
        <v>202</v>
      </c>
      <c r="E22" s="7" t="s">
        <v>203</v>
      </c>
      <c r="F22" s="7" t="s">
        <v>204</v>
      </c>
      <c r="G22" s="10">
        <v>0</v>
      </c>
      <c r="H22" s="10">
        <v>2</v>
      </c>
      <c r="I22" s="11">
        <f t="shared" si="0"/>
        <v>2</v>
      </c>
      <c r="J22" s="10">
        <v>3</v>
      </c>
      <c r="K22" s="11">
        <f t="shared" si="1"/>
        <v>6</v>
      </c>
      <c r="L22" s="11" t="str">
        <f>IF(K22="","",IF(K22&gt;=Scales!$B$21,"High",IF(K22&gt;=Scales!$B$22,"Medium",IF(K22&gt;0,"Low","None"))))</f>
        <v>Medium</v>
      </c>
      <c r="M22" s="7" t="s">
        <v>205</v>
      </c>
    </row>
    <row r="23" spans="1:13" ht="43.5" customHeight="1" x14ac:dyDescent="0.35">
      <c r="A23" s="10" t="s">
        <v>89</v>
      </c>
      <c r="B23" s="10" t="s">
        <v>200</v>
      </c>
      <c r="C23" s="7" t="s">
        <v>201</v>
      </c>
      <c r="D23" s="7" t="s">
        <v>206</v>
      </c>
      <c r="E23" s="7" t="s">
        <v>207</v>
      </c>
      <c r="F23" s="7" t="s">
        <v>208</v>
      </c>
      <c r="G23" s="10">
        <v>1</v>
      </c>
      <c r="H23" s="10">
        <v>3</v>
      </c>
      <c r="I23" s="11">
        <f t="shared" si="0"/>
        <v>2</v>
      </c>
      <c r="J23" s="10">
        <v>4</v>
      </c>
      <c r="K23" s="11">
        <f t="shared" si="1"/>
        <v>8</v>
      </c>
      <c r="L23" s="11" t="str">
        <f>IF(K23="","",IF(K23&gt;=Scales!$B$21,"High",IF(K23&gt;=Scales!$B$22,"Medium",IF(K23&gt;0,"Low","None"))))</f>
        <v>Medium</v>
      </c>
      <c r="M23" s="7" t="s">
        <v>209</v>
      </c>
    </row>
    <row r="24" spans="1:13" ht="43.5" customHeight="1" x14ac:dyDescent="0.35">
      <c r="A24" s="10" t="s">
        <v>210</v>
      </c>
      <c r="B24" s="10" t="s">
        <v>200</v>
      </c>
      <c r="C24" s="7" t="s">
        <v>211</v>
      </c>
      <c r="D24" s="7" t="s">
        <v>212</v>
      </c>
      <c r="E24" s="7" t="s">
        <v>213</v>
      </c>
      <c r="F24" s="7" t="s">
        <v>214</v>
      </c>
      <c r="G24" s="10">
        <v>1</v>
      </c>
      <c r="H24" s="10">
        <v>2</v>
      </c>
      <c r="I24" s="11">
        <f t="shared" si="0"/>
        <v>1</v>
      </c>
      <c r="J24" s="10">
        <v>3</v>
      </c>
      <c r="K24" s="11">
        <f t="shared" si="1"/>
        <v>3</v>
      </c>
      <c r="L24" s="11" t="str">
        <f>IF(K24="","",IF(K24&gt;=Scales!$B$21,"High",IF(K24&gt;=Scales!$B$22,"Medium",IF(K24&gt;0,"Low","None"))))</f>
        <v>Low</v>
      </c>
      <c r="M24" s="7" t="s">
        <v>215</v>
      </c>
    </row>
    <row r="25" spans="1:13" ht="43.5" customHeight="1" x14ac:dyDescent="0.35">
      <c r="A25" s="10" t="s">
        <v>66</v>
      </c>
      <c r="B25" s="10" t="s">
        <v>216</v>
      </c>
      <c r="C25" s="7" t="s">
        <v>217</v>
      </c>
      <c r="D25" s="7" t="s">
        <v>218</v>
      </c>
      <c r="E25" s="7" t="s">
        <v>219</v>
      </c>
      <c r="F25" s="7" t="s">
        <v>220</v>
      </c>
      <c r="G25" s="10">
        <v>0</v>
      </c>
      <c r="H25" s="10">
        <v>3</v>
      </c>
      <c r="I25" s="11">
        <f t="shared" si="0"/>
        <v>3</v>
      </c>
      <c r="J25" s="10">
        <v>5</v>
      </c>
      <c r="K25" s="11">
        <f t="shared" si="1"/>
        <v>15</v>
      </c>
      <c r="L25" s="11" t="str">
        <f>IF(K25="","",IF(K25&gt;=Scales!$B$21,"High",IF(K25&gt;=Scales!$B$22,"Medium",IF(K25&gt;0,"Low","None"))))</f>
        <v>High</v>
      </c>
      <c r="M25" s="7" t="s">
        <v>221</v>
      </c>
    </row>
    <row r="26" spans="1:13" ht="43.5" customHeight="1" x14ac:dyDescent="0.35">
      <c r="A26" s="10" t="s">
        <v>222</v>
      </c>
      <c r="B26" s="10" t="s">
        <v>216</v>
      </c>
      <c r="C26" s="7" t="s">
        <v>223</v>
      </c>
      <c r="D26" s="7" t="s">
        <v>224</v>
      </c>
      <c r="E26" s="7" t="s">
        <v>225</v>
      </c>
      <c r="F26" s="7" t="s">
        <v>226</v>
      </c>
      <c r="G26" s="10">
        <v>0</v>
      </c>
      <c r="H26" s="10">
        <v>3</v>
      </c>
      <c r="I26" s="11">
        <f t="shared" si="0"/>
        <v>3</v>
      </c>
      <c r="J26" s="10">
        <v>4</v>
      </c>
      <c r="K26" s="11">
        <f t="shared" si="1"/>
        <v>12</v>
      </c>
      <c r="L26" s="11" t="str">
        <f>IF(K26="","",IF(K26&gt;=Scales!$B$21,"High",IF(K26&gt;=Scales!$B$22,"Medium",IF(K26&gt;0,"Low","None"))))</f>
        <v>High</v>
      </c>
      <c r="M26" s="7" t="s">
        <v>227</v>
      </c>
    </row>
    <row r="27" spans="1:13" ht="43.5" customHeight="1" x14ac:dyDescent="0.35">
      <c r="A27" s="10" t="s">
        <v>228</v>
      </c>
      <c r="B27" s="10" t="s">
        <v>216</v>
      </c>
      <c r="C27" s="7" t="s">
        <v>229</v>
      </c>
      <c r="D27" s="7" t="s">
        <v>230</v>
      </c>
      <c r="E27" s="7" t="s">
        <v>231</v>
      </c>
      <c r="F27" s="7" t="s">
        <v>232</v>
      </c>
      <c r="G27" s="10">
        <v>1</v>
      </c>
      <c r="H27" s="10">
        <v>3</v>
      </c>
      <c r="I27" s="11">
        <f t="shared" si="0"/>
        <v>2</v>
      </c>
      <c r="J27" s="10">
        <v>4</v>
      </c>
      <c r="K27" s="11">
        <f t="shared" si="1"/>
        <v>8</v>
      </c>
      <c r="L27" s="11" t="str">
        <f>IF(K27="","",IF(K27&gt;=Scales!$B$21,"High",IF(K27&gt;=Scales!$B$22,"Medium",IF(K27&gt;0,"Low","None"))))</f>
        <v>Medium</v>
      </c>
      <c r="M27" s="7" t="s">
        <v>233</v>
      </c>
    </row>
    <row r="28" spans="1:13" ht="43.5" customHeight="1" x14ac:dyDescent="0.35">
      <c r="A28" s="10" t="s">
        <v>234</v>
      </c>
      <c r="B28" s="10" t="s">
        <v>235</v>
      </c>
      <c r="C28" s="7" t="s">
        <v>236</v>
      </c>
      <c r="D28" s="7" t="s">
        <v>237</v>
      </c>
      <c r="E28" s="7" t="s">
        <v>238</v>
      </c>
      <c r="F28" s="7" t="s">
        <v>239</v>
      </c>
      <c r="G28" s="10">
        <v>0</v>
      </c>
      <c r="H28" s="10">
        <v>3</v>
      </c>
      <c r="I28" s="11">
        <f t="shared" si="0"/>
        <v>3</v>
      </c>
      <c r="J28" s="10">
        <v>5</v>
      </c>
      <c r="K28" s="11">
        <f t="shared" si="1"/>
        <v>15</v>
      </c>
      <c r="L28" s="11" t="str">
        <f>IF(K28="","",IF(K28&gt;=Scales!$B$21,"High",IF(K28&gt;=Scales!$B$22,"Medium",IF(K28&gt;0,"Low","None"))))</f>
        <v>High</v>
      </c>
      <c r="M28" s="7" t="s">
        <v>240</v>
      </c>
    </row>
    <row r="29" spans="1:13" ht="43.5" customHeight="1" x14ac:dyDescent="0.35">
      <c r="A29" s="10" t="s">
        <v>241</v>
      </c>
      <c r="B29" s="10" t="s">
        <v>235</v>
      </c>
      <c r="C29" s="7" t="s">
        <v>236</v>
      </c>
      <c r="D29" s="7" t="s">
        <v>242</v>
      </c>
      <c r="E29" s="7" t="s">
        <v>243</v>
      </c>
      <c r="F29" s="7" t="s">
        <v>244</v>
      </c>
      <c r="G29" s="10">
        <v>1</v>
      </c>
      <c r="H29" s="10">
        <v>3</v>
      </c>
      <c r="I29" s="11">
        <f t="shared" si="0"/>
        <v>2</v>
      </c>
      <c r="J29" s="10">
        <v>4</v>
      </c>
      <c r="K29" s="11">
        <f t="shared" si="1"/>
        <v>8</v>
      </c>
      <c r="L29" s="11" t="str">
        <f>IF(K29="","",IF(K29&gt;=Scales!$B$21,"High",IF(K29&gt;=Scales!$B$22,"Medium",IF(K29&gt;0,"Low","None"))))</f>
        <v>Medium</v>
      </c>
      <c r="M29" s="7" t="s">
        <v>245</v>
      </c>
    </row>
    <row r="30" spans="1:13" ht="43.5" customHeight="1" x14ac:dyDescent="0.35">
      <c r="A30" s="10" t="s">
        <v>246</v>
      </c>
      <c r="B30" s="10" t="s">
        <v>235</v>
      </c>
      <c r="C30" s="7" t="s">
        <v>247</v>
      </c>
      <c r="D30" s="7" t="s">
        <v>248</v>
      </c>
      <c r="E30" s="7" t="s">
        <v>249</v>
      </c>
      <c r="F30" s="7" t="s">
        <v>250</v>
      </c>
      <c r="G30" s="10">
        <v>0</v>
      </c>
      <c r="H30" s="10">
        <v>2</v>
      </c>
      <c r="I30" s="11">
        <f t="shared" si="0"/>
        <v>2</v>
      </c>
      <c r="J30" s="10">
        <v>3</v>
      </c>
      <c r="K30" s="11">
        <f t="shared" si="1"/>
        <v>6</v>
      </c>
      <c r="L30" s="11" t="str">
        <f>IF(K30="","",IF(K30&gt;=Scales!$B$21,"High",IF(K30&gt;=Scales!$B$22,"Medium",IF(K30&gt;0,"Low","None"))))</f>
        <v>Medium</v>
      </c>
      <c r="M30" s="7" t="s">
        <v>251</v>
      </c>
    </row>
    <row r="31" spans="1:13" ht="43.5" customHeight="1" x14ac:dyDescent="0.35">
      <c r="A31" s="10"/>
      <c r="B31" s="10"/>
      <c r="C31" s="7"/>
      <c r="D31" s="7"/>
      <c r="E31" s="7"/>
      <c r="F31" s="7"/>
      <c r="G31" s="10"/>
      <c r="H31" s="10"/>
      <c r="I31" s="11" t="str">
        <f t="shared" si="0"/>
        <v/>
      </c>
      <c r="J31" s="10"/>
      <c r="K31" s="11" t="str">
        <f t="shared" si="1"/>
        <v/>
      </c>
      <c r="L31" s="11" t="str">
        <f>IF(K31="","",IF(K31&gt;=Scales!$B$21,"High",IF(K31&gt;=Scales!$B$22,"Medium",IF(K31&gt;0,"Low","None"))))</f>
        <v/>
      </c>
      <c r="M31" s="7"/>
    </row>
    <row r="32" spans="1:13" ht="43.5" customHeight="1" x14ac:dyDescent="0.35">
      <c r="A32" s="10"/>
      <c r="B32" s="10"/>
      <c r="C32" s="7"/>
      <c r="D32" s="7"/>
      <c r="E32" s="7"/>
      <c r="F32" s="7"/>
      <c r="G32" s="10"/>
      <c r="H32" s="10"/>
      <c r="I32" s="11" t="str">
        <f t="shared" si="0"/>
        <v/>
      </c>
      <c r="J32" s="10"/>
      <c r="K32" s="11" t="str">
        <f t="shared" si="1"/>
        <v/>
      </c>
      <c r="L32" s="11" t="str">
        <f>IF(K32="","",IF(K32&gt;=Scales!$B$21,"High",IF(K32&gt;=Scales!$B$22,"Medium",IF(K32&gt;0,"Low","None"))))</f>
        <v/>
      </c>
      <c r="M32" s="7"/>
    </row>
    <row r="33" spans="1:13" ht="43.5" customHeight="1" x14ac:dyDescent="0.35">
      <c r="A33" s="10"/>
      <c r="B33" s="10"/>
      <c r="C33" s="7"/>
      <c r="D33" s="7"/>
      <c r="E33" s="7"/>
      <c r="F33" s="7"/>
      <c r="G33" s="10"/>
      <c r="H33" s="10"/>
      <c r="I33" s="11" t="str">
        <f t="shared" si="0"/>
        <v/>
      </c>
      <c r="J33" s="10"/>
      <c r="K33" s="11" t="str">
        <f t="shared" si="1"/>
        <v/>
      </c>
      <c r="L33" s="11" t="str">
        <f>IF(K33="","",IF(K33&gt;=Scales!$B$21,"High",IF(K33&gt;=Scales!$B$22,"Medium",IF(K33&gt;0,"Low","None"))))</f>
        <v/>
      </c>
      <c r="M33" s="7"/>
    </row>
    <row r="34" spans="1:13" ht="43.5" customHeight="1" x14ac:dyDescent="0.35">
      <c r="A34" s="10"/>
      <c r="B34" s="10"/>
      <c r="C34" s="7"/>
      <c r="D34" s="7"/>
      <c r="E34" s="7"/>
      <c r="F34" s="7"/>
      <c r="G34" s="10"/>
      <c r="H34" s="10"/>
      <c r="I34" s="11" t="str">
        <f t="shared" si="0"/>
        <v/>
      </c>
      <c r="J34" s="10"/>
      <c r="K34" s="11" t="str">
        <f t="shared" si="1"/>
        <v/>
      </c>
      <c r="L34" s="11" t="str">
        <f>IF(K34="","",IF(K34&gt;=Scales!$B$21,"High",IF(K34&gt;=Scales!$B$22,"Medium",IF(K34&gt;0,"Low","None"))))</f>
        <v/>
      </c>
      <c r="M34" s="7"/>
    </row>
  </sheetData>
  <autoFilter ref="A4:M34" xr:uid="{00000000-0009-0000-0000-000002000000}"/>
  <conditionalFormatting sqref="L5:L34">
    <cfRule type="expression" dxfId="2" priority="2">
      <formula>L5="High"</formula>
    </cfRule>
    <cfRule type="expression" dxfId="1" priority="3">
      <formula>L5="Medium"</formula>
    </cfRule>
    <cfRule type="expression" dxfId="0" priority="4">
      <formula>L5="Low"</formula>
    </cfRule>
  </conditionalFormatting>
  <dataValidations count="3">
    <dataValidation type="whole" showErrorMessage="1" errorTitle="Invalid score" error="Enter a whole number from 0 to 4." sqref="G5:H34" xr:uid="{00000000-0002-0000-0200-000000000000}">
      <formula1>0</formula1>
      <formula2>4</formula2>
    </dataValidation>
    <dataValidation type="whole" showErrorMessage="1" errorTitle="Invalid impact" error="Enter a whole number from 1 to 5." sqref="J5:J34" xr:uid="{00000000-0002-0000-0200-000001000000}">
      <formula1>1</formula1>
      <formula2>5</formula2>
    </dataValidation>
    <dataValidation type="list" sqref="B5:B34" xr:uid="{00000000-0002-0000-0200-000002000000}">
      <formula1>"Govern,Identify,Protect,Detect,Respond,Recover"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Normal="100" workbookViewId="0"/>
  </sheetViews>
  <sheetFormatPr defaultColWidth="8.6328125" defaultRowHeight="14.5" x14ac:dyDescent="0.35"/>
  <cols>
    <col min="1" max="1" width="14" customWidth="1"/>
    <col min="2" max="4" width="12" customWidth="1"/>
    <col min="5" max="5" width="10" customWidth="1"/>
    <col min="6" max="6" width="14" customWidth="1"/>
  </cols>
  <sheetData>
    <row r="1" spans="1:6" ht="18" x14ac:dyDescent="0.4">
      <c r="A1" s="3" t="s">
        <v>252</v>
      </c>
    </row>
    <row r="3" spans="1:6" ht="31.5" customHeight="1" x14ac:dyDescent="0.35">
      <c r="A3" s="9" t="s">
        <v>97</v>
      </c>
      <c r="B3" s="9" t="s">
        <v>253</v>
      </c>
      <c r="C3" s="9" t="s">
        <v>254</v>
      </c>
      <c r="D3" s="9" t="s">
        <v>255</v>
      </c>
      <c r="E3" s="9" t="s">
        <v>256</v>
      </c>
      <c r="F3" s="9" t="s">
        <v>257</v>
      </c>
    </row>
    <row r="4" spans="1:6" x14ac:dyDescent="0.35">
      <c r="A4" s="13" t="s">
        <v>109</v>
      </c>
      <c r="B4" s="14">
        <f>COUNTIF('Gap Assessment'!$B$5:$B$100,A4)</f>
        <v>5</v>
      </c>
      <c r="C4" s="15">
        <f>IFERROR(AVERAGEIF('Gap Assessment'!$B$5:$B$100,A4,'Gap Assessment'!$G$5:$G$100),0)</f>
        <v>0.4</v>
      </c>
      <c r="D4" s="15">
        <f>IFERROR(AVERAGEIF('Gap Assessment'!$B$5:$B$100,A4,'Gap Assessment'!$H$5:$H$100),0)</f>
        <v>2.6</v>
      </c>
      <c r="E4" s="15">
        <f t="shared" ref="E4:E10" si="0">D4-C4</f>
        <v>2.2000000000000002</v>
      </c>
      <c r="F4" s="14">
        <f>COUNTIFS('Gap Assessment'!$B$5:$B$100,A4,'Gap Assessment'!$L$5:$L$100,"High")</f>
        <v>1</v>
      </c>
    </row>
    <row r="5" spans="1:6" x14ac:dyDescent="0.35">
      <c r="A5" s="13" t="s">
        <v>139</v>
      </c>
      <c r="B5" s="14">
        <f>COUNTIF('Gap Assessment'!$B$5:$B$100,A5)</f>
        <v>4</v>
      </c>
      <c r="C5" s="15">
        <f>IFERROR(AVERAGEIF('Gap Assessment'!$B$5:$B$100,A5,'Gap Assessment'!$G$5:$G$100),0)</f>
        <v>0.5</v>
      </c>
      <c r="D5" s="15">
        <f>IFERROR(AVERAGEIF('Gap Assessment'!$B$5:$B$100,A5,'Gap Assessment'!$H$5:$H$100),0)</f>
        <v>3</v>
      </c>
      <c r="E5" s="15">
        <f t="shared" si="0"/>
        <v>2.5</v>
      </c>
      <c r="F5" s="14">
        <f>COUNTIFS('Gap Assessment'!$B$5:$B$100,A5,'Gap Assessment'!$L$5:$L$100,"High")</f>
        <v>2</v>
      </c>
    </row>
    <row r="6" spans="1:6" x14ac:dyDescent="0.35">
      <c r="A6" s="13" t="s">
        <v>161</v>
      </c>
      <c r="B6" s="14">
        <f>COUNTIF('Gap Assessment'!$B$5:$B$100,A6)</f>
        <v>8</v>
      </c>
      <c r="C6" s="15">
        <f>IFERROR(AVERAGEIF('Gap Assessment'!$B$5:$B$100,A6,'Gap Assessment'!$G$5:$G$100),0)</f>
        <v>1.375</v>
      </c>
      <c r="D6" s="15">
        <f>IFERROR(AVERAGEIF('Gap Assessment'!$B$5:$B$100,A6,'Gap Assessment'!$H$5:$H$100),0)</f>
        <v>3</v>
      </c>
      <c r="E6" s="15">
        <f t="shared" si="0"/>
        <v>1.625</v>
      </c>
      <c r="F6" s="14">
        <f>COUNTIFS('Gap Assessment'!$B$5:$B$100,A6,'Gap Assessment'!$L$5:$L$100,"High")</f>
        <v>0</v>
      </c>
    </row>
    <row r="7" spans="1:6" x14ac:dyDescent="0.35">
      <c r="A7" s="13" t="s">
        <v>200</v>
      </c>
      <c r="B7" s="14">
        <f>COUNTIF('Gap Assessment'!$B$5:$B$100,A7)</f>
        <v>3</v>
      </c>
      <c r="C7" s="15">
        <f>IFERROR(AVERAGEIF('Gap Assessment'!$B$5:$B$100,A7,'Gap Assessment'!$G$5:$G$100),0)</f>
        <v>0.66666666666666663</v>
      </c>
      <c r="D7" s="15">
        <f>IFERROR(AVERAGEIF('Gap Assessment'!$B$5:$B$100,A7,'Gap Assessment'!$H$5:$H$100),0)</f>
        <v>2.3333333333333335</v>
      </c>
      <c r="E7" s="15">
        <f t="shared" si="0"/>
        <v>1.666666666666667</v>
      </c>
      <c r="F7" s="14">
        <f>COUNTIFS('Gap Assessment'!$B$5:$B$100,A7,'Gap Assessment'!$L$5:$L$100,"High")</f>
        <v>0</v>
      </c>
    </row>
    <row r="8" spans="1:6" x14ac:dyDescent="0.35">
      <c r="A8" s="13" t="s">
        <v>216</v>
      </c>
      <c r="B8" s="14">
        <f>COUNTIF('Gap Assessment'!$B$5:$B$100,A8)</f>
        <v>3</v>
      </c>
      <c r="C8" s="15">
        <f>IFERROR(AVERAGEIF('Gap Assessment'!$B$5:$B$100,A8,'Gap Assessment'!$G$5:$G$100),0)</f>
        <v>0.33333333333333331</v>
      </c>
      <c r="D8" s="15">
        <f>IFERROR(AVERAGEIF('Gap Assessment'!$B$5:$B$100,A8,'Gap Assessment'!$H$5:$H$100),0)</f>
        <v>3</v>
      </c>
      <c r="E8" s="15">
        <f t="shared" si="0"/>
        <v>2.6666666666666665</v>
      </c>
      <c r="F8" s="14">
        <f>COUNTIFS('Gap Assessment'!$B$5:$B$100,A8,'Gap Assessment'!$L$5:$L$100,"High")</f>
        <v>2</v>
      </c>
    </row>
    <row r="9" spans="1:6" x14ac:dyDescent="0.35">
      <c r="A9" s="13" t="s">
        <v>235</v>
      </c>
      <c r="B9" s="14">
        <f>COUNTIF('Gap Assessment'!$B$5:$B$100,A9)</f>
        <v>3</v>
      </c>
      <c r="C9" s="15">
        <f>IFERROR(AVERAGEIF('Gap Assessment'!$B$5:$B$100,A9,'Gap Assessment'!$G$5:$G$100),0)</f>
        <v>0.33333333333333331</v>
      </c>
      <c r="D9" s="15">
        <f>IFERROR(AVERAGEIF('Gap Assessment'!$B$5:$B$100,A9,'Gap Assessment'!$H$5:$H$100),0)</f>
        <v>2.6666666666666665</v>
      </c>
      <c r="E9" s="15">
        <f t="shared" si="0"/>
        <v>2.333333333333333</v>
      </c>
      <c r="F9" s="14">
        <f>COUNTIFS('Gap Assessment'!$B$5:$B$100,A9,'Gap Assessment'!$L$5:$L$100,"High")</f>
        <v>1</v>
      </c>
    </row>
    <row r="10" spans="1:6" x14ac:dyDescent="0.35">
      <c r="A10" s="16" t="s">
        <v>258</v>
      </c>
      <c r="B10" s="17">
        <f>SUM(B4:B9)</f>
        <v>26</v>
      </c>
      <c r="C10" s="18">
        <f>IFERROR(AVERAGE('Gap Assessment'!$G$5:$G$100),0)</f>
        <v>0.73076923076923073</v>
      </c>
      <c r="D10" s="18">
        <f>IFERROR(AVERAGE('Gap Assessment'!$H$5:$H$100),0)</f>
        <v>2.8076923076923075</v>
      </c>
      <c r="E10" s="18">
        <f t="shared" si="0"/>
        <v>2.0769230769230766</v>
      </c>
      <c r="F10" s="17">
        <f>SUM(F4:F9)</f>
        <v>6</v>
      </c>
    </row>
    <row r="12" spans="1:6" x14ac:dyDescent="0.35">
      <c r="A12" s="4" t="s">
        <v>259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showGridLines="0" topLeftCell="A23" zoomScaleNormal="100" workbookViewId="0"/>
  </sheetViews>
  <sheetFormatPr defaultColWidth="8.6328125" defaultRowHeight="14.5" x14ac:dyDescent="0.35"/>
  <cols>
    <col min="1" max="1" width="30" customWidth="1"/>
    <col min="2" max="2" width="18" customWidth="1"/>
    <col min="3" max="3" width="62" customWidth="1"/>
  </cols>
  <sheetData>
    <row r="1" spans="1:3" ht="18" x14ac:dyDescent="0.4">
      <c r="A1" s="3" t="s">
        <v>260</v>
      </c>
    </row>
    <row r="3" spans="1:3" x14ac:dyDescent="0.35">
      <c r="A3" s="19" t="s">
        <v>261</v>
      </c>
      <c r="B3" s="20"/>
      <c r="C3" s="20"/>
    </row>
    <row r="4" spans="1:3" x14ac:dyDescent="0.35">
      <c r="A4" s="21" t="s">
        <v>36</v>
      </c>
      <c r="B4" s="21" t="s">
        <v>37</v>
      </c>
      <c r="C4" s="21" t="s">
        <v>262</v>
      </c>
    </row>
    <row r="5" spans="1:3" x14ac:dyDescent="0.35">
      <c r="A5" s="22">
        <v>1</v>
      </c>
      <c r="B5" s="23" t="s">
        <v>263</v>
      </c>
      <c r="C5" s="23" t="s">
        <v>264</v>
      </c>
    </row>
    <row r="6" spans="1:3" x14ac:dyDescent="0.35">
      <c r="A6" s="22">
        <v>2</v>
      </c>
      <c r="B6" s="23" t="s">
        <v>265</v>
      </c>
      <c r="C6" s="23" t="s">
        <v>266</v>
      </c>
    </row>
    <row r="7" spans="1:3" x14ac:dyDescent="0.35">
      <c r="A7" s="22">
        <v>3</v>
      </c>
      <c r="B7" s="23" t="s">
        <v>267</v>
      </c>
      <c r="C7" s="23" t="s">
        <v>268</v>
      </c>
    </row>
    <row r="8" spans="1:3" x14ac:dyDescent="0.35">
      <c r="A8" s="22">
        <v>4</v>
      </c>
      <c r="B8" s="23" t="s">
        <v>269</v>
      </c>
      <c r="C8" s="23" t="s">
        <v>270</v>
      </c>
    </row>
    <row r="9" spans="1:3" x14ac:dyDescent="0.35">
      <c r="A9" s="22">
        <v>5</v>
      </c>
      <c r="B9" s="23" t="s">
        <v>271</v>
      </c>
      <c r="C9" s="23" t="s">
        <v>272</v>
      </c>
    </row>
    <row r="11" spans="1:3" x14ac:dyDescent="0.35">
      <c r="A11" s="19" t="s">
        <v>273</v>
      </c>
      <c r="B11" s="20"/>
      <c r="C11" s="20"/>
    </row>
    <row r="12" spans="1:3" x14ac:dyDescent="0.35">
      <c r="A12" s="21" t="s">
        <v>36</v>
      </c>
      <c r="B12" s="21" t="s">
        <v>37</v>
      </c>
      <c r="C12" s="21" t="s">
        <v>262</v>
      </c>
    </row>
    <row r="13" spans="1:3" x14ac:dyDescent="0.35">
      <c r="A13" s="22">
        <v>1</v>
      </c>
      <c r="B13" s="23" t="s">
        <v>274</v>
      </c>
      <c r="C13" s="23" t="s">
        <v>275</v>
      </c>
    </row>
    <row r="14" spans="1:3" x14ac:dyDescent="0.35">
      <c r="A14" s="22">
        <v>2</v>
      </c>
      <c r="B14" s="23" t="s">
        <v>276</v>
      </c>
      <c r="C14" s="23" t="s">
        <v>277</v>
      </c>
    </row>
    <row r="15" spans="1:3" x14ac:dyDescent="0.35">
      <c r="A15" s="22">
        <v>3</v>
      </c>
      <c r="B15" s="23" t="s">
        <v>278</v>
      </c>
      <c r="C15" s="23" t="s">
        <v>279</v>
      </c>
    </row>
    <row r="16" spans="1:3" x14ac:dyDescent="0.35">
      <c r="A16" s="22">
        <v>4</v>
      </c>
      <c r="B16" s="23" t="s">
        <v>280</v>
      </c>
      <c r="C16" s="23" t="s">
        <v>281</v>
      </c>
    </row>
    <row r="17" spans="1:3" x14ac:dyDescent="0.35">
      <c r="A17" s="22">
        <v>5</v>
      </c>
      <c r="B17" s="23" t="s">
        <v>282</v>
      </c>
      <c r="C17" s="23" t="s">
        <v>283</v>
      </c>
    </row>
    <row r="19" spans="1:3" x14ac:dyDescent="0.35">
      <c r="A19" s="19" t="s">
        <v>284</v>
      </c>
      <c r="B19" s="20"/>
      <c r="C19" s="20"/>
    </row>
    <row r="20" spans="1:3" x14ac:dyDescent="0.35">
      <c r="A20" s="21" t="s">
        <v>37</v>
      </c>
      <c r="B20" s="21" t="s">
        <v>285</v>
      </c>
      <c r="C20" s="21" t="s">
        <v>286</v>
      </c>
    </row>
    <row r="21" spans="1:3" x14ac:dyDescent="0.35">
      <c r="A21" s="24" t="s">
        <v>287</v>
      </c>
      <c r="B21" s="25">
        <v>12</v>
      </c>
      <c r="C21" s="24" t="s">
        <v>288</v>
      </c>
    </row>
    <row r="22" spans="1:3" x14ac:dyDescent="0.35">
      <c r="A22" s="24" t="s">
        <v>289</v>
      </c>
      <c r="B22" s="25">
        <v>6</v>
      </c>
      <c r="C22" s="24" t="s">
        <v>290</v>
      </c>
    </row>
    <row r="23" spans="1:3" x14ac:dyDescent="0.35">
      <c r="A23" s="24" t="s">
        <v>291</v>
      </c>
      <c r="B23" s="14" t="s">
        <v>292</v>
      </c>
      <c r="C23" s="24" t="s">
        <v>293</v>
      </c>
    </row>
    <row r="24" spans="1:3" x14ac:dyDescent="0.35">
      <c r="A24" s="4" t="s">
        <v>294</v>
      </c>
    </row>
    <row r="26" spans="1:3" x14ac:dyDescent="0.35">
      <c r="A26" s="19" t="s">
        <v>295</v>
      </c>
      <c r="B26" s="20"/>
      <c r="C26" s="20"/>
    </row>
    <row r="27" spans="1:3" x14ac:dyDescent="0.35">
      <c r="A27" s="21" t="s">
        <v>37</v>
      </c>
      <c r="B27" s="21" t="s">
        <v>296</v>
      </c>
      <c r="C27" s="21" t="s">
        <v>297</v>
      </c>
    </row>
    <row r="28" spans="1:3" x14ac:dyDescent="0.35">
      <c r="A28" s="24" t="s">
        <v>287</v>
      </c>
      <c r="B28" s="14">
        <f>COUNTIF('Risk Register'!$G$5:$G$24,A28)</f>
        <v>7</v>
      </c>
      <c r="C28" s="14">
        <f>COUNTIF('Risk Register'!$N$5:$N$24,A28)</f>
        <v>0</v>
      </c>
    </row>
    <row r="29" spans="1:3" x14ac:dyDescent="0.35">
      <c r="A29" s="24" t="s">
        <v>289</v>
      </c>
      <c r="B29" s="14">
        <f>COUNTIF('Risk Register'!$G$5:$G$24,A29)</f>
        <v>2</v>
      </c>
      <c r="C29" s="14">
        <f>COUNTIF('Risk Register'!$N$5:$N$24,A29)</f>
        <v>2</v>
      </c>
    </row>
    <row r="30" spans="1:3" x14ac:dyDescent="0.35">
      <c r="A30" s="24" t="s">
        <v>291</v>
      </c>
      <c r="B30" s="14">
        <f>COUNTIF('Risk Register'!$G$5:$G$24,A30)</f>
        <v>1</v>
      </c>
      <c r="C30" s="14">
        <f>COUNTIF('Risk Register'!$N$5:$N$24,A30)</f>
        <v>8</v>
      </c>
    </row>
    <row r="31" spans="1:3" x14ac:dyDescent="0.35">
      <c r="A31" s="26" t="s">
        <v>298</v>
      </c>
      <c r="B31" s="27">
        <f>SUM(B28:B30)</f>
        <v>10</v>
      </c>
      <c r="C31" s="27">
        <f>SUM(C28:C30)</f>
        <v>10</v>
      </c>
    </row>
    <row r="33" spans="1:3" x14ac:dyDescent="0.35">
      <c r="A33" s="19" t="s">
        <v>299</v>
      </c>
      <c r="B33" s="20"/>
      <c r="C33" s="20"/>
    </row>
    <row r="34" spans="1:3" x14ac:dyDescent="0.35">
      <c r="A34" s="21" t="s">
        <v>36</v>
      </c>
      <c r="B34" s="21" t="s">
        <v>37</v>
      </c>
      <c r="C34" s="21" t="s">
        <v>262</v>
      </c>
    </row>
    <row r="35" spans="1:3" x14ac:dyDescent="0.35">
      <c r="A35" s="22">
        <v>0</v>
      </c>
      <c r="B35" s="23" t="s">
        <v>300</v>
      </c>
      <c r="C35" s="23" t="s">
        <v>301</v>
      </c>
    </row>
    <row r="36" spans="1:3" x14ac:dyDescent="0.35">
      <c r="A36" s="22">
        <v>1</v>
      </c>
      <c r="B36" s="23" t="s">
        <v>302</v>
      </c>
      <c r="C36" s="23" t="s">
        <v>303</v>
      </c>
    </row>
    <row r="37" spans="1:3" x14ac:dyDescent="0.35">
      <c r="A37" s="22">
        <v>2</v>
      </c>
      <c r="B37" s="23" t="s">
        <v>304</v>
      </c>
      <c r="C37" s="23" t="s">
        <v>305</v>
      </c>
    </row>
    <row r="38" spans="1:3" x14ac:dyDescent="0.35">
      <c r="A38" s="22">
        <v>3</v>
      </c>
      <c r="B38" s="23" t="s">
        <v>306</v>
      </c>
      <c r="C38" s="23" t="s">
        <v>307</v>
      </c>
    </row>
    <row r="39" spans="1:3" x14ac:dyDescent="0.35">
      <c r="A39" s="22">
        <v>4</v>
      </c>
      <c r="B39" s="23" t="s">
        <v>308</v>
      </c>
      <c r="C39" s="23" t="s">
        <v>309</v>
      </c>
    </row>
    <row r="40" spans="1:3" x14ac:dyDescent="0.35">
      <c r="A40" s="4" t="s">
        <v>310</v>
      </c>
    </row>
    <row r="42" spans="1:3" x14ac:dyDescent="0.35">
      <c r="A42" s="19" t="s">
        <v>311</v>
      </c>
      <c r="B42" s="20"/>
      <c r="C42" s="20"/>
    </row>
    <row r="43" spans="1:3" x14ac:dyDescent="0.35">
      <c r="A43" s="2" t="s">
        <v>312</v>
      </c>
      <c r="B43" s="2"/>
      <c r="C43" s="2"/>
    </row>
    <row r="44" spans="1:3" x14ac:dyDescent="0.35">
      <c r="A44" s="2" t="s">
        <v>313</v>
      </c>
      <c r="B44" s="2"/>
      <c r="C44" s="2"/>
    </row>
    <row r="45" spans="1:3" x14ac:dyDescent="0.35">
      <c r="A45" s="2" t="s">
        <v>314</v>
      </c>
      <c r="B45" s="2"/>
      <c r="C45" s="2"/>
    </row>
    <row r="46" spans="1:3" x14ac:dyDescent="0.35">
      <c r="A46" s="2" t="s">
        <v>315</v>
      </c>
      <c r="B46" s="2"/>
      <c r="C46" s="2"/>
    </row>
    <row r="47" spans="1:3" x14ac:dyDescent="0.35">
      <c r="A47" s="1" t="s">
        <v>316</v>
      </c>
      <c r="B47" s="1"/>
      <c r="C47" s="1"/>
    </row>
    <row r="48" spans="1:3" x14ac:dyDescent="0.35">
      <c r="A48" s="1" t="s">
        <v>317</v>
      </c>
      <c r="B48" s="1"/>
      <c r="C48" s="1"/>
    </row>
  </sheetData>
  <mergeCells count="6">
    <mergeCell ref="A48:C48"/>
    <mergeCell ref="A43:C43"/>
    <mergeCell ref="A44:C44"/>
    <mergeCell ref="A45:C45"/>
    <mergeCell ref="A46:C46"/>
    <mergeCell ref="A47:C4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 Info</vt:lpstr>
      <vt:lpstr>Risk Register</vt:lpstr>
      <vt:lpstr>Gap Assessment</vt:lpstr>
      <vt:lpstr>Gap Summary</vt:lpstr>
      <vt:lpstr>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Risk Register with NIST CSF 2.0 Gap Analysis</dc:title>
  <dc:subject/>
  <dc:creator/>
  <dc:description/>
  <cp:lastModifiedBy>Sakar Khadka</cp:lastModifiedBy>
  <cp:revision>1</cp:revision>
  <dcterms:created xsi:type="dcterms:W3CDTF">2026-10-30T10:25:45Z</dcterms:created>
  <dcterms:modified xsi:type="dcterms:W3CDTF">2026-10-30T10:36:12Z</dcterms:modified>
  <dc:language>en-US</dc:language>
</cp:coreProperties>
</file>